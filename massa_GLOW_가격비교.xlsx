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W 비교" sheetId="1" state="visible" r:id="rId3"/>
    <sheet name="시간대별 나란히" sheetId="2" state="visible" r:id="rId4"/>
    <sheet name="무엇이 보이나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<sst xmlns="http://schemas.openxmlformats.org/spreadsheetml/2006/main" count="312" uniqueCount="174">
  <si>
    <r>
      <rPr>
        <b val="true"/>
        <sz val="15"/>
        <color rgb="FF2A2320"/>
        <rFont val="Arial"/>
        <family val="0"/>
        <charset val="1"/>
      </rPr>
      <t xml:space="preserve">massa </t>
    </r>
    <r>
      <rPr>
        <b val="true"/>
        <sz val="15"/>
        <color rgb="FF2A2320"/>
        <rFont val="Noto Sans CJK SC"/>
        <family val="2"/>
      </rPr>
      <t xml:space="preserve">가격 </t>
    </r>
    <r>
      <rPr>
        <b val="true"/>
        <sz val="15"/>
        <color rgb="FF2A2320"/>
        <rFont val="Arial"/>
        <family val="0"/>
        <charset val="1"/>
      </rPr>
      <t xml:space="preserve">vs GLOW </t>
    </r>
    <r>
      <rPr>
        <b val="true"/>
        <sz val="15"/>
        <color rgb="FF2A2320"/>
        <rFont val="Noto Sans CJK SC"/>
        <family val="2"/>
      </rPr>
      <t xml:space="preserve">하노이 시세</t>
    </r>
  </si>
  <si>
    <r>
      <rPr>
        <sz val="9"/>
        <color rgb="FF6B5F57"/>
        <rFont val="Arial"/>
        <family val="0"/>
        <charset val="1"/>
      </rPr>
      <t xml:space="preserve">GLOW </t>
    </r>
    <r>
      <rPr>
        <sz val="9"/>
        <color rgb="FF6B5F57"/>
        <rFont val="Noto Sans CJK SC"/>
        <family val="2"/>
      </rPr>
      <t xml:space="preserve">는 기사가 각자 값을 정합니다</t>
    </r>
    <r>
      <rPr>
        <sz val="9"/>
        <color rgb="FF6B5F57"/>
        <rFont val="Arial"/>
        <family val="0"/>
        <charset val="1"/>
      </rPr>
      <t xml:space="preserve">. </t>
    </r>
    <r>
      <rPr>
        <sz val="9"/>
        <color rgb="FF6B5F57"/>
        <rFont val="Noto Sans CJK SC"/>
        <family val="2"/>
      </rPr>
      <t xml:space="preserve">아래 </t>
    </r>
    <r>
      <rPr>
        <sz val="9"/>
        <color rgb="FF6B5F57"/>
        <rFont val="Arial"/>
        <family val="0"/>
        <charset val="1"/>
      </rPr>
      <t xml:space="preserve">GLOW </t>
    </r>
    <r>
      <rPr>
        <sz val="9"/>
        <color rgb="FF6B5F57"/>
        <rFont val="Noto Sans CJK SC"/>
        <family val="2"/>
      </rPr>
      <t xml:space="preserve">값은 하노이 기사 </t>
    </r>
    <r>
      <rPr>
        <sz val="9"/>
        <color rgb="FF6B5F57"/>
        <rFont val="Arial"/>
        <family val="0"/>
        <charset val="1"/>
      </rPr>
      <t xml:space="preserve">40</t>
    </r>
    <r>
      <rPr>
        <sz val="9"/>
        <color rgb="FF6B5F57"/>
        <rFont val="Noto Sans CJK SC"/>
        <family val="2"/>
      </rPr>
      <t xml:space="preserve">명을 모아 낸 최저</t>
    </r>
    <r>
      <rPr>
        <sz val="9"/>
        <color rgb="FF6B5F57"/>
        <rFont val="Arial"/>
        <family val="0"/>
        <charset val="1"/>
      </rPr>
      <t xml:space="preserve">·</t>
    </r>
    <r>
      <rPr>
        <sz val="9"/>
        <color rgb="FF6B5F57"/>
        <rFont val="Noto Sans CJK SC"/>
        <family val="2"/>
      </rPr>
      <t xml:space="preserve">중앙</t>
    </r>
    <r>
      <rPr>
        <sz val="9"/>
        <color rgb="FF6B5F57"/>
        <rFont val="Arial"/>
        <family val="0"/>
        <charset val="1"/>
      </rPr>
      <t xml:space="preserve">·</t>
    </r>
    <r>
      <rPr>
        <sz val="9"/>
        <color rgb="FF6B5F57"/>
        <rFont val="Noto Sans CJK SC"/>
        <family val="2"/>
      </rPr>
      <t xml:space="preserve">최고입니다</t>
    </r>
    <r>
      <rPr>
        <sz val="9"/>
        <color rgb="FF6B5F57"/>
        <rFont val="Arial"/>
        <family val="0"/>
        <charset val="1"/>
      </rPr>
      <t xml:space="preserve">. </t>
    </r>
    <r>
      <rPr>
        <sz val="9"/>
        <color rgb="FF6B5F57"/>
        <rFont val="Noto Sans CJK SC"/>
        <family val="2"/>
      </rPr>
      <t xml:space="preserve">초록은 </t>
    </r>
    <r>
      <rPr>
        <sz val="9"/>
        <color rgb="FF6B5F57"/>
        <rFont val="Arial"/>
        <family val="0"/>
        <charset val="1"/>
      </rPr>
      <t xml:space="preserve">massa </t>
    </r>
    <r>
      <rPr>
        <sz val="9"/>
        <color rgb="FF6B5F57"/>
        <rFont val="Noto Sans CJK SC"/>
        <family val="2"/>
      </rPr>
      <t xml:space="preserve">가 더 싸다</t>
    </r>
    <r>
      <rPr>
        <sz val="9"/>
        <color rgb="FF6B5F57"/>
        <rFont val="Arial"/>
        <family val="0"/>
        <charset val="1"/>
      </rPr>
      <t xml:space="preserve">, </t>
    </r>
    <r>
      <rPr>
        <sz val="9"/>
        <color rgb="FF6B5F57"/>
        <rFont val="Noto Sans CJK SC"/>
        <family val="2"/>
      </rPr>
      <t xml:space="preserve">분홍은 더 비싸다는 뜻입니다</t>
    </r>
    <r>
      <rPr>
        <sz val="9"/>
        <color rgb="FF6B5F57"/>
        <rFont val="Arial"/>
        <family val="0"/>
        <charset val="1"/>
      </rPr>
      <t xml:space="preserve">. </t>
    </r>
    <r>
      <rPr>
        <sz val="9"/>
        <color rgb="FF6B5F57"/>
        <rFont val="Noto Sans CJK SC"/>
        <family val="2"/>
      </rPr>
      <t xml:space="preserve">노란 칸</t>
    </r>
    <r>
      <rPr>
        <sz val="9"/>
        <color rgb="FF6B5F57"/>
        <rFont val="Arial"/>
        <family val="0"/>
        <charset val="1"/>
      </rPr>
      <t xml:space="preserve">(K</t>
    </r>
    <r>
      <rPr>
        <sz val="9"/>
        <color rgb="FF6B5F57"/>
        <rFont val="Noto Sans CJK SC"/>
        <family val="2"/>
      </rPr>
      <t xml:space="preserve">열</t>
    </r>
    <r>
      <rPr>
        <sz val="9"/>
        <color rgb="FF6B5F57"/>
        <rFont val="Arial"/>
        <family val="0"/>
        <charset val="1"/>
      </rPr>
      <t xml:space="preserve">)</t>
    </r>
    <r>
      <rPr>
        <sz val="9"/>
        <color rgb="FF6B5F57"/>
        <rFont val="Noto Sans CJK SC"/>
        <family val="2"/>
      </rPr>
      <t xml:space="preserve">에 새 가격을 넣으면 </t>
    </r>
    <r>
      <rPr>
        <sz val="9"/>
        <color rgb="FF6B5F57"/>
        <rFont val="Arial"/>
        <family val="0"/>
        <charset val="1"/>
      </rPr>
      <t xml:space="preserve">GLOW </t>
    </r>
    <r>
      <rPr>
        <sz val="9"/>
        <color rgb="FF6B5F57"/>
        <rFont val="Noto Sans CJK SC"/>
        <family val="2"/>
      </rPr>
      <t xml:space="preserve">중앙값 대비 위치가 다시 계산됩니다</t>
    </r>
    <r>
      <rPr>
        <sz val="9"/>
        <color rgb="FF6B5F57"/>
        <rFont val="Arial"/>
        <family val="0"/>
        <charset val="1"/>
      </rPr>
      <t xml:space="preserve">.</t>
    </r>
  </si>
  <si>
    <r>
      <rPr>
        <sz val="9"/>
        <color rgb="FF6B5F57"/>
        <rFont val="Noto Sans CJK SC"/>
        <family val="2"/>
      </rPr>
      <t xml:space="preserve">출처</t>
    </r>
    <r>
      <rPr>
        <sz val="9"/>
        <color rgb="FF6B5F57"/>
        <rFont val="Arial"/>
        <family val="0"/>
        <charset val="1"/>
      </rPr>
      <t xml:space="preserve">: glowvietnam.com </t>
    </r>
    <r>
      <rPr>
        <sz val="9"/>
        <color rgb="FF6B5F57"/>
        <rFont val="Noto Sans CJK SC"/>
        <family val="2"/>
      </rPr>
      <t xml:space="preserve">하노이 기사 프로필 </t>
    </r>
    <r>
      <rPr>
        <sz val="9"/>
        <color rgb="FF6B5F57"/>
        <rFont val="Arial"/>
        <family val="0"/>
        <charset val="1"/>
      </rPr>
      <t xml:space="preserve">40</t>
    </r>
    <r>
      <rPr>
        <sz val="9"/>
        <color rgb="FF6B5F57"/>
        <rFont val="Noto Sans CJK SC"/>
        <family val="2"/>
      </rPr>
      <t xml:space="preserve">명 </t>
    </r>
    <r>
      <rPr>
        <sz val="9"/>
        <color rgb="FF6B5F57"/>
        <rFont val="Arial"/>
        <family val="0"/>
        <charset val="1"/>
      </rPr>
      <t xml:space="preserve">(2026-09-06 </t>
    </r>
    <r>
      <rPr>
        <sz val="9"/>
        <color rgb="FF6B5F57"/>
        <rFont val="Noto Sans CJK SC"/>
        <family val="2"/>
      </rPr>
      <t xml:space="preserve">수집</t>
    </r>
    <r>
      <rPr>
        <sz val="9"/>
        <color rgb="FF6B5F57"/>
        <rFont val="Arial"/>
        <family val="0"/>
        <charset val="1"/>
      </rPr>
      <t xml:space="preserve">)</t>
    </r>
  </si>
  <si>
    <t xml:space="preserve">카테고리</t>
  </si>
  <si>
    <r>
      <rPr>
        <b val="true"/>
        <sz val="10"/>
        <color rgb="FF2A2320"/>
        <rFont val="Arial"/>
        <family val="0"/>
        <charset val="1"/>
      </rPr>
      <t xml:space="preserve">massa </t>
    </r>
    <r>
      <rPr>
        <b val="true"/>
        <sz val="10"/>
        <color rgb="FF2A2320"/>
        <rFont val="Noto Sans CJK SC"/>
        <family val="2"/>
      </rPr>
      <t xml:space="preserve">서비스</t>
    </r>
  </si>
  <si>
    <r>
      <rPr>
        <b val="true"/>
        <sz val="10"/>
        <color rgb="FF2A2320"/>
        <rFont val="Noto Sans CJK SC"/>
        <family val="2"/>
      </rPr>
      <t xml:space="preserve">시간</t>
    </r>
    <r>
      <rPr>
        <b val="true"/>
        <sz val="10"/>
        <color rgb="FF2A2320"/>
        <rFont val="Arial"/>
        <family val="0"/>
        <charset val="1"/>
      </rPr>
      <t xml:space="preserve">(</t>
    </r>
    <r>
      <rPr>
        <b val="true"/>
        <sz val="10"/>
        <color rgb="FF2A2320"/>
        <rFont val="Noto Sans CJK SC"/>
        <family val="2"/>
      </rPr>
      <t xml:space="preserve">분</t>
    </r>
    <r>
      <rPr>
        <b val="true"/>
        <sz val="10"/>
        <color rgb="FF2A2320"/>
        <rFont val="Arial"/>
        <family val="0"/>
        <charset val="1"/>
      </rPr>
      <t xml:space="preserve">)</t>
    </r>
  </si>
  <si>
    <r>
      <rPr>
        <b val="true"/>
        <sz val="10"/>
        <color rgb="FF2A2320"/>
        <rFont val="Arial"/>
        <family val="0"/>
        <charset val="1"/>
      </rPr>
      <t xml:space="preserve">massa </t>
    </r>
    <r>
      <rPr>
        <b val="true"/>
        <sz val="10"/>
        <color rgb="FF2A2320"/>
        <rFont val="Noto Sans CJK SC"/>
        <family val="2"/>
      </rPr>
      <t xml:space="preserve">가격</t>
    </r>
  </si>
  <si>
    <r>
      <rPr>
        <b val="true"/>
        <sz val="10"/>
        <color rgb="FF2A2320"/>
        <rFont val="Arial"/>
        <family val="0"/>
        <charset val="1"/>
      </rPr>
      <t xml:space="preserve">GLOW </t>
    </r>
    <r>
      <rPr>
        <b val="true"/>
        <sz val="10"/>
        <color rgb="FF2A2320"/>
        <rFont val="Noto Sans CJK SC"/>
        <family val="2"/>
      </rPr>
      <t xml:space="preserve">대응 서비스</t>
    </r>
  </si>
  <si>
    <r>
      <rPr>
        <b val="true"/>
        <sz val="10"/>
        <color rgb="FF2A2320"/>
        <rFont val="Arial"/>
        <family val="0"/>
        <charset val="1"/>
      </rPr>
      <t xml:space="preserve">GLOW </t>
    </r>
    <r>
      <rPr>
        <b val="true"/>
        <sz val="10"/>
        <color rgb="FF2A2320"/>
        <rFont val="Noto Sans CJK SC"/>
        <family val="2"/>
      </rPr>
      <t xml:space="preserve">시간</t>
    </r>
  </si>
  <si>
    <r>
      <rPr>
        <b val="true"/>
        <sz val="10"/>
        <color rgb="FF2A2320"/>
        <rFont val="Arial"/>
        <family val="0"/>
        <charset val="1"/>
      </rPr>
      <t xml:space="preserve">GLOW </t>
    </r>
    <r>
      <rPr>
        <b val="true"/>
        <sz val="10"/>
        <color rgb="FF2A2320"/>
        <rFont val="Noto Sans CJK SC"/>
        <family val="2"/>
      </rPr>
      <t xml:space="preserve">최저</t>
    </r>
  </si>
  <si>
    <r>
      <rPr>
        <b val="true"/>
        <sz val="10"/>
        <color rgb="FF2A2320"/>
        <rFont val="Arial"/>
        <family val="0"/>
        <charset val="1"/>
      </rPr>
      <t xml:space="preserve">GLOW </t>
    </r>
    <r>
      <rPr>
        <b val="true"/>
        <sz val="10"/>
        <color rgb="FF2A2320"/>
        <rFont val="Noto Sans CJK SC"/>
        <family val="2"/>
      </rPr>
      <t xml:space="preserve">중앙</t>
    </r>
  </si>
  <si>
    <r>
      <rPr>
        <b val="true"/>
        <sz val="10"/>
        <color rgb="FF2A2320"/>
        <rFont val="Arial"/>
        <family val="0"/>
        <charset val="1"/>
      </rPr>
      <t xml:space="preserve">GLOW </t>
    </r>
    <r>
      <rPr>
        <b val="true"/>
        <sz val="10"/>
        <color rgb="FF2A2320"/>
        <rFont val="Noto Sans CJK SC"/>
        <family val="2"/>
      </rPr>
      <t xml:space="preserve">최고</t>
    </r>
  </si>
  <si>
    <t xml:space="preserve">중앙 대비</t>
  </si>
  <si>
    <r>
      <rPr>
        <b val="true"/>
        <sz val="10"/>
        <color rgb="FF2A2320"/>
        <rFont val="Noto Sans CJK SC"/>
        <family val="2"/>
      </rPr>
      <t xml:space="preserve">새 가격 </t>
    </r>
    <r>
      <rPr>
        <b val="true"/>
        <sz val="10"/>
        <color rgb="FF2A2320"/>
        <rFont val="Arial"/>
        <family val="0"/>
        <charset val="1"/>
      </rPr>
      <t xml:space="preserve">(</t>
    </r>
    <r>
      <rPr>
        <b val="true"/>
        <sz val="10"/>
        <color rgb="FF2A2320"/>
        <rFont val="Noto Sans CJK SC"/>
        <family val="2"/>
      </rPr>
      <t xml:space="preserve">입력</t>
    </r>
    <r>
      <rPr>
        <b val="true"/>
        <sz val="10"/>
        <color rgb="FF2A2320"/>
        <rFont val="Arial"/>
        <family val="0"/>
        <charset val="1"/>
      </rPr>
      <t xml:space="preserve">)</t>
    </r>
  </si>
  <si>
    <t xml:space="preserve">새 가격의 중앙 대비</t>
  </si>
  <si>
    <t xml:space="preserve">표본</t>
  </si>
  <si>
    <t xml:space="preserve">마사지</t>
  </si>
  <si>
    <r>
      <rPr>
        <sz val="10"/>
        <rFont val="Noto Sans CJK SC"/>
        <family val="2"/>
      </rPr>
      <t xml:space="preserve">다리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</si>
  <si>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Foot Massage</t>
  </si>
  <si>
    <r>
      <rPr>
        <sz val="10"/>
        <rFont val="Noto Sans CJK SC"/>
        <family val="2"/>
      </rPr>
      <t xml:space="preserve">다리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</si>
  <si>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다리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</si>
  <si>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등 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</si>
  <si>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Back Therapy</t>
  </si>
  <si>
    <r>
      <rPr>
        <sz val="10"/>
        <rFont val="Noto Sans CJK SC"/>
        <family val="2"/>
      </rPr>
      <t xml:space="preserve">등 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</si>
  <si>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등 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</si>
  <si>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머리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</si>
  <si>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Head Therapy</t>
  </si>
  <si>
    <r>
      <rPr>
        <sz val="10"/>
        <rFont val="Noto Sans CJK SC"/>
        <family val="2"/>
      </rPr>
      <t xml:space="preserve">머리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</si>
  <si>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머리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</si>
  <si>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어깨 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</si>
  <si>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Neck Shoulder Massage</t>
  </si>
  <si>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어깨 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</si>
  <si>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어깨 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</si>
  <si>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스웨디시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</si>
  <si>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Oil Massage</t>
  </si>
  <si>
    <r>
      <rPr>
        <sz val="10"/>
        <rFont val="Noto Sans CJK SC"/>
        <family val="2"/>
      </rPr>
      <t xml:space="preserve">스웨디시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</si>
  <si>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스포츠 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</si>
  <si>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Sports Therapy</t>
  </si>
  <si>
    <r>
      <rPr>
        <sz val="10"/>
        <rFont val="Noto Sans CJK SC"/>
        <family val="2"/>
      </rPr>
      <t xml:space="preserve">스포츠 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</si>
  <si>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스포츠 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</si>
  <si>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아로마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</si>
  <si>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Aroma Massage</t>
  </si>
  <si>
    <r>
      <rPr>
        <sz val="10"/>
        <rFont val="Noto Sans CJK SC"/>
        <family val="2"/>
      </rPr>
      <t xml:space="preserve">아로마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</si>
  <si>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아로마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</si>
  <si>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아로마테라피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</si>
  <si>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아로마테라피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</si>
  <si>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아로마테라피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</si>
  <si>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어깨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</si>
  <si>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어깨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</si>
  <si>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어깨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</si>
  <si>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오일 마사지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부항 요법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</si>
  <si>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오일 마사지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부항 요법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</si>
  <si>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오일 마사지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부항 요법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</si>
  <si>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오일 없는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</si>
  <si>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Massage Without Oil</t>
  </si>
  <si>
    <r>
      <rPr>
        <sz val="10"/>
        <rFont val="Noto Sans CJK SC"/>
        <family val="2"/>
      </rPr>
      <t xml:space="preserve">오일 없는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</si>
  <si>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오일 없는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</si>
  <si>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타이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</si>
  <si>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Thai Massage</t>
  </si>
  <si>
    <r>
      <rPr>
        <sz val="10"/>
        <rFont val="Noto Sans CJK SC"/>
        <family val="2"/>
      </rPr>
      <t xml:space="preserve">타이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</si>
  <si>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태국식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</si>
  <si>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태국식 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</si>
  <si>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태국식 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</si>
  <si>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풋 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</si>
  <si>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풋 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</si>
  <si>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풋 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</si>
  <si>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핫 스톤마사지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</si>
  <si>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Hot Stone Massage</t>
  </si>
  <si>
    <r>
      <rPr>
        <sz val="10"/>
        <rFont val="Noto Sans CJK SC"/>
        <family val="2"/>
      </rPr>
      <t xml:space="preserve">핫 스톤마사지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</si>
  <si>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핫 스톤마사지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</si>
  <si>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헤드 테라피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</si>
  <si>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헤드 테라피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</si>
  <si>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헤드 테라피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</si>
  <si>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홈뷰티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케어</t>
    </r>
  </si>
  <si>
    <r>
      <rPr>
        <sz val="10"/>
        <rFont val="Noto Sans CJK SC"/>
        <family val="2"/>
      </rPr>
      <t xml:space="preserve">가슴 왁싱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</t>
    </r>
  </si>
  <si>
    <t xml:space="preserve">대응 없음</t>
  </si>
  <si>
    <r>
      <rPr>
        <sz val="10"/>
        <rFont val="Noto Sans CJK SC"/>
        <family val="2"/>
      </rPr>
      <t xml:space="preserve">각질 제거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</si>
  <si>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겨드랑이 왁싱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</t>
    </r>
  </si>
  <si>
    <t xml:space="preserve">Underarm Waxing</t>
  </si>
  <si>
    <r>
      <rPr>
        <sz val="10"/>
        <rFont val="Noto Sans CJK SC"/>
        <family val="2"/>
      </rPr>
      <t xml:space="preserve">귀청소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</t>
    </r>
  </si>
  <si>
    <t xml:space="preserve">Earwax</t>
  </si>
  <si>
    <r>
      <rPr>
        <sz val="10"/>
        <rFont val="Noto Sans CJK SC"/>
        <family val="2"/>
      </rPr>
      <t xml:space="preserve">네일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</si>
  <si>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네일 연장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</si>
  <si>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다리 전체 왁싱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</si>
  <si>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복부 왁싱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</si>
  <si>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비키니 왁싱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</t>
    </r>
  </si>
  <si>
    <t xml:space="preserve">Bikini Waxing</t>
  </si>
  <si>
    <r>
      <rPr>
        <sz val="10"/>
        <rFont val="Noto Sans CJK SC"/>
        <family val="2"/>
      </rPr>
      <t xml:space="preserve">왁싱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</si>
  <si>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젤 매니큐어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</si>
  <si>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젤 페디큐어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</si>
  <si>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팔 전체 왁싱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</si>
  <si>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한국식 전신 스크럽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</si>
  <si>
    <t xml:space="preserve">Korean Full Body Scrub</t>
  </si>
  <si>
    <t xml:space="preserve">대응이 있는 항목만 평균</t>
  </si>
  <si>
    <r>
      <rPr>
        <sz val="10"/>
        <rFont val="Arial"/>
        <family val="0"/>
        <charset val="1"/>
      </rPr>
      <t xml:space="preserve">GLOW </t>
    </r>
    <r>
      <rPr>
        <sz val="10"/>
        <rFont val="Noto Sans CJK SC"/>
        <family val="2"/>
      </rPr>
      <t xml:space="preserve">대응이 없는 항목 수</t>
    </r>
  </si>
  <si>
    <r>
      <rPr>
        <b val="true"/>
        <sz val="15"/>
        <color rgb="FF2A2320"/>
        <rFont val="Arial"/>
        <family val="0"/>
        <charset val="1"/>
      </rPr>
      <t xml:space="preserve">60 · 90 · 120</t>
    </r>
    <r>
      <rPr>
        <b val="true"/>
        <sz val="15"/>
        <color rgb="FF2A2320"/>
        <rFont val="Noto Sans CJK SC"/>
        <family val="2"/>
      </rPr>
      <t xml:space="preserve">분 — </t>
    </r>
    <r>
      <rPr>
        <b val="true"/>
        <sz val="15"/>
        <color rgb="FF2A2320"/>
        <rFont val="Arial"/>
        <family val="0"/>
        <charset val="1"/>
      </rPr>
      <t xml:space="preserve">massa </t>
    </r>
    <r>
      <rPr>
        <b val="true"/>
        <sz val="15"/>
        <color rgb="FF2A2320"/>
        <rFont val="Noto Sans CJK SC"/>
        <family val="2"/>
      </rPr>
      <t xml:space="preserve">와 </t>
    </r>
    <r>
      <rPr>
        <b val="true"/>
        <sz val="15"/>
        <color rgb="FF2A2320"/>
        <rFont val="Arial"/>
        <family val="0"/>
        <charset val="1"/>
      </rPr>
      <t xml:space="preserve">GLOW </t>
    </r>
    <r>
      <rPr>
        <b val="true"/>
        <sz val="15"/>
        <color rgb="FF2A2320"/>
        <rFont val="Noto Sans CJK SC"/>
        <family val="2"/>
      </rPr>
      <t xml:space="preserve">중앙값</t>
    </r>
  </si>
  <si>
    <r>
      <rPr>
        <sz val="9"/>
        <color rgb="FF6B5F57"/>
        <rFont val="Arial"/>
        <family val="0"/>
        <charset val="1"/>
      </rPr>
      <t xml:space="preserve">GLOW </t>
    </r>
    <r>
      <rPr>
        <sz val="9"/>
        <color rgb="FF6B5F57"/>
        <rFont val="Noto Sans CJK SC"/>
        <family val="2"/>
      </rPr>
      <t xml:space="preserve">는 시간이 늘 때마다 </t>
    </r>
    <r>
      <rPr>
        <sz val="9"/>
        <color rgb="FF6B5F57"/>
        <rFont val="Arial"/>
        <family val="0"/>
        <charset val="1"/>
      </rPr>
      <t xml:space="preserve">10</t>
    </r>
    <r>
      <rPr>
        <sz val="9"/>
        <color rgb="FF6B5F57"/>
        <rFont val="Noto Sans CJK SC"/>
        <family val="2"/>
      </rPr>
      <t xml:space="preserve">만동씩 일정하게 올립니다</t>
    </r>
    <r>
      <rPr>
        <sz val="9"/>
        <color rgb="FF6B5F57"/>
        <rFont val="Arial"/>
        <family val="0"/>
        <charset val="1"/>
      </rPr>
      <t xml:space="preserve">. massa </t>
    </r>
    <r>
      <rPr>
        <sz val="9"/>
        <color rgb="FF6B5F57"/>
        <rFont val="Noto Sans CJK SC"/>
        <family val="2"/>
      </rPr>
      <t xml:space="preserve">와 붙는 지점이 어디인지 보십시오</t>
    </r>
    <r>
      <rPr>
        <sz val="9"/>
        <color rgb="FF6B5F57"/>
        <rFont val="Arial"/>
        <family val="0"/>
        <charset val="1"/>
      </rPr>
      <t xml:space="preserve">.</t>
    </r>
  </si>
  <si>
    <r>
      <rPr>
        <b val="true"/>
        <sz val="10"/>
        <color rgb="FF2A2320"/>
        <rFont val="Arial"/>
        <family val="0"/>
        <charset val="1"/>
      </rPr>
      <t xml:space="preserve">60</t>
    </r>
    <r>
      <rPr>
        <b val="true"/>
        <sz val="10"/>
        <color rgb="FF2A2320"/>
        <rFont val="Noto Sans CJK SC"/>
        <family val="2"/>
      </rPr>
      <t xml:space="preserve">분</t>
    </r>
  </si>
  <si>
    <r>
      <rPr>
        <b val="true"/>
        <sz val="10"/>
        <color rgb="FF2A2320"/>
        <rFont val="Arial"/>
        <family val="0"/>
        <charset val="1"/>
      </rPr>
      <t xml:space="preserve">90</t>
    </r>
    <r>
      <rPr>
        <b val="true"/>
        <sz val="10"/>
        <color rgb="FF2A2320"/>
        <rFont val="Noto Sans CJK SC"/>
        <family val="2"/>
      </rPr>
      <t xml:space="preserve">분</t>
    </r>
  </si>
  <si>
    <r>
      <rPr>
        <b val="true"/>
        <sz val="10"/>
        <color rgb="FF2A2320"/>
        <rFont val="Arial"/>
        <family val="0"/>
        <charset val="1"/>
      </rPr>
      <t xml:space="preserve">120</t>
    </r>
    <r>
      <rPr>
        <b val="true"/>
        <sz val="10"/>
        <color rgb="FF2A2320"/>
        <rFont val="Noto Sans CJK SC"/>
        <family val="2"/>
      </rPr>
      <t xml:space="preserve">분</t>
    </r>
  </si>
  <si>
    <r>
      <rPr>
        <b val="true"/>
        <sz val="10"/>
        <color rgb="FF2A2320"/>
        <rFont val="Arial"/>
        <family val="0"/>
        <charset val="1"/>
      </rPr>
      <t xml:space="preserve">GLOW 60</t>
    </r>
    <r>
      <rPr>
        <b val="true"/>
        <sz val="10"/>
        <color rgb="FF2A2320"/>
        <rFont val="Noto Sans CJK SC"/>
        <family val="2"/>
      </rPr>
      <t xml:space="preserve">분</t>
    </r>
  </si>
  <si>
    <r>
      <rPr>
        <b val="true"/>
        <sz val="10"/>
        <color rgb="FF2A2320"/>
        <rFont val="Arial"/>
        <family val="0"/>
        <charset val="1"/>
      </rPr>
      <t xml:space="preserve">GLOW 90</t>
    </r>
    <r>
      <rPr>
        <b val="true"/>
        <sz val="10"/>
        <color rgb="FF2A2320"/>
        <rFont val="Noto Sans CJK SC"/>
        <family val="2"/>
      </rPr>
      <t xml:space="preserve">분</t>
    </r>
  </si>
  <si>
    <r>
      <rPr>
        <b val="true"/>
        <sz val="10"/>
        <color rgb="FF2A2320"/>
        <rFont val="Arial"/>
        <family val="0"/>
        <charset val="1"/>
      </rPr>
      <t xml:space="preserve">GLOW 120</t>
    </r>
    <r>
      <rPr>
        <b val="true"/>
        <sz val="10"/>
        <color rgb="FF2A2320"/>
        <rFont val="Noto Sans CJK SC"/>
        <family val="2"/>
      </rPr>
      <t xml:space="preserve">분</t>
    </r>
  </si>
  <si>
    <r>
      <rPr>
        <b val="true"/>
        <sz val="10"/>
        <color rgb="FF2A2320"/>
        <rFont val="Arial"/>
        <family val="0"/>
        <charset val="1"/>
      </rPr>
      <t xml:space="preserve">60</t>
    </r>
    <r>
      <rPr>
        <b val="true"/>
        <sz val="10"/>
        <color rgb="FF2A2320"/>
        <rFont val="Noto Sans CJK SC"/>
        <family val="2"/>
      </rPr>
      <t xml:space="preserve">분 차이</t>
    </r>
  </si>
  <si>
    <r>
      <rPr>
        <b val="true"/>
        <sz val="10"/>
        <color rgb="FF2A2320"/>
        <rFont val="Arial"/>
        <family val="0"/>
        <charset val="1"/>
      </rPr>
      <t xml:space="preserve">120</t>
    </r>
    <r>
      <rPr>
        <b val="true"/>
        <sz val="10"/>
        <color rgb="FF2A2320"/>
        <rFont val="Noto Sans CJK SC"/>
        <family val="2"/>
      </rPr>
      <t xml:space="preserve">분 차이</t>
    </r>
  </si>
  <si>
    <t xml:space="preserve">다리 마사지</t>
  </si>
  <si>
    <t xml:space="preserve">등 테라피</t>
  </si>
  <si>
    <t xml:space="preserve">머리 마사지</t>
  </si>
  <si>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어깨 테라피</t>
    </r>
  </si>
  <si>
    <t xml:space="preserve">스웨디시</t>
  </si>
  <si>
    <t xml:space="preserve">스포츠 테라피</t>
  </si>
  <si>
    <t xml:space="preserve">아로마 마사지</t>
  </si>
  <si>
    <t xml:space="preserve">아로마테라피</t>
  </si>
  <si>
    <r>
      <rPr>
        <sz val="10"/>
        <rFont val="Noto Sans CJK SC"/>
        <family val="2"/>
      </rPr>
      <t xml:space="preserve">어깨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 마사지</t>
    </r>
  </si>
  <si>
    <r>
      <rPr>
        <sz val="10"/>
        <rFont val="Noto Sans CJK SC"/>
        <family val="2"/>
      </rPr>
      <t xml:space="preserve">오일 마사지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부항 요법</t>
    </r>
  </si>
  <si>
    <t xml:space="preserve">오일 없는 마사지</t>
  </si>
  <si>
    <t xml:space="preserve">타이 마사지</t>
  </si>
  <si>
    <t xml:space="preserve">태국식 마사지</t>
  </si>
  <si>
    <t xml:space="preserve">풋 테라피</t>
  </si>
  <si>
    <t xml:space="preserve">핫 스톤마사지</t>
  </si>
  <si>
    <t xml:space="preserve">헤드 테라피</t>
  </si>
  <si>
    <t xml:space="preserve">가슴 왁싱</t>
  </si>
  <si>
    <t xml:space="preserve">각질 제거</t>
  </si>
  <si>
    <t xml:space="preserve">겨드랑이 왁싱</t>
  </si>
  <si>
    <t xml:space="preserve">귀청소</t>
  </si>
  <si>
    <t xml:space="preserve">네일</t>
  </si>
  <si>
    <t xml:space="preserve">네일 연장</t>
  </si>
  <si>
    <t xml:space="preserve">다리 전체 왁싱</t>
  </si>
  <si>
    <t xml:space="preserve">복부 왁싱</t>
  </si>
  <si>
    <t xml:space="preserve">비키니 왁싱</t>
  </si>
  <si>
    <t xml:space="preserve">왁싱</t>
  </si>
  <si>
    <t xml:space="preserve">젤 매니큐어</t>
  </si>
  <si>
    <t xml:space="preserve">젤 페디큐어</t>
  </si>
  <si>
    <t xml:space="preserve">팔 전체 왁싱</t>
  </si>
  <si>
    <t xml:space="preserve">한국식 전신 스크럽</t>
  </si>
  <si>
    <t xml:space="preserve">숫자에서 읽히는 것</t>
  </si>
  <si>
    <r>
      <rPr>
        <sz val="9"/>
        <color rgb="FF6B5F57"/>
        <rFont val="Noto Sans CJK SC"/>
        <family val="2"/>
      </rPr>
      <t xml:space="preserve">판단은 사장님이 하십니다</t>
    </r>
    <r>
      <rPr>
        <sz val="9"/>
        <color rgb="FF6B5F57"/>
        <rFont val="Arial"/>
        <family val="0"/>
        <charset val="1"/>
      </rPr>
      <t xml:space="preserve">. </t>
    </r>
    <r>
      <rPr>
        <sz val="9"/>
        <color rgb="FF6B5F57"/>
        <rFont val="Noto Sans CJK SC"/>
        <family val="2"/>
      </rPr>
      <t xml:space="preserve">아래는 표를 요약한 것입니다</t>
    </r>
    <r>
      <rPr>
        <sz val="9"/>
        <color rgb="FF6B5F57"/>
        <rFont val="Arial"/>
        <family val="0"/>
        <charset val="1"/>
      </rPr>
      <t xml:space="preserve">.</t>
    </r>
  </si>
  <si>
    <t xml:space="preserve">항목</t>
  </si>
  <si>
    <t xml:space="preserve">무엇이</t>
  </si>
  <si>
    <t xml:space="preserve">숫자</t>
  </si>
  <si>
    <t xml:space="preserve">생각해 볼 것</t>
  </si>
  <si>
    <t xml:space="preserve">시장 표준</t>
  </si>
  <si>
    <r>
      <rPr>
        <sz val="10"/>
        <rFont val="Arial"/>
        <family val="0"/>
        <charset val="1"/>
      </rPr>
      <t xml:space="preserve">GLOW </t>
    </r>
    <r>
      <rPr>
        <sz val="10"/>
        <rFont val="Noto Sans CJK SC"/>
        <family val="2"/>
      </rPr>
      <t xml:space="preserve">하노이의 사실상 정가</t>
    </r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</si>
  <si>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: 500,000₫ 22</t>
    </r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· 600,000₫ 16</t>
    </r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· 700,000₫ 2</t>
    </r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). GLOW </t>
    </r>
    <r>
      <rPr>
        <sz val="10"/>
        <rFont val="Noto Sans CJK SC"/>
        <family val="2"/>
      </rPr>
      <t xml:space="preserve">는 시간이 늘 때마다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만동씩 일정하게 올립니다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</si>
  <si>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massa </t>
    </r>
    <r>
      <rPr>
        <sz val="10"/>
        <rFont val="Noto Sans CJK SC"/>
        <family val="2"/>
      </rPr>
      <t xml:space="preserve">도 </t>
    </r>
    <r>
      <rPr>
        <sz val="10"/>
        <rFont val="Arial"/>
        <family val="0"/>
        <charset val="1"/>
      </rPr>
      <t xml:space="preserve">'60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500,000 · 90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600,000 · 120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700,000' </t>
    </r>
    <r>
      <rPr>
        <sz val="10"/>
        <rFont val="Noto Sans CJK SC"/>
        <family val="2"/>
      </rPr>
      <t xml:space="preserve">처럼 규칙을 하나로 정할지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</si>
  <si>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B0742F"/>
        <rFont val="Arial"/>
        <family val="0"/>
        <charset val="1"/>
      </rPr>
      <t xml:space="preserve">massa </t>
    </r>
    <r>
      <rPr>
        <b val="true"/>
        <sz val="10"/>
        <color rgb="FFB0742F"/>
        <rFont val="Noto Sans CJK SC"/>
        <family val="2"/>
      </rPr>
      <t xml:space="preserve">가 싸다</t>
    </r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</si>
  <si>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 마사지 대부분</t>
    </r>
  </si>
  <si>
    <r>
      <rPr>
        <sz val="10"/>
        <rFont val="Arial"/>
        <family val="0"/>
        <charset val="1"/>
      </rPr>
      <t xml:space="preserve">massa 350,000~550,000 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GLOW </t>
    </r>
    <r>
      <rPr>
        <sz val="10"/>
        <rFont val="Noto Sans CJK SC"/>
        <family val="2"/>
      </rPr>
      <t xml:space="preserve">중앙값 </t>
    </r>
    <r>
      <rPr>
        <sz val="10"/>
        <rFont val="Arial"/>
        <family val="0"/>
        <charset val="1"/>
      </rPr>
      <t xml:space="preserve">500,000. </t>
    </r>
    <r>
      <rPr>
        <sz val="10"/>
        <rFont val="Noto Sans CJK SC"/>
        <family val="2"/>
      </rPr>
      <t xml:space="preserve">다리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머리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풋 </t>
    </r>
    <r>
      <rPr>
        <sz val="10"/>
        <rFont val="Arial"/>
        <family val="0"/>
        <charset val="1"/>
      </rPr>
      <t xml:space="preserve">350,000 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GLOW </t>
    </r>
    <r>
      <rPr>
        <sz val="10"/>
        <rFont val="Noto Sans CJK SC"/>
        <family val="2"/>
      </rPr>
      <t xml:space="preserve">대비 </t>
    </r>
    <r>
      <rPr>
        <sz val="10"/>
        <rFont val="Arial"/>
        <family val="0"/>
        <charset val="1"/>
      </rPr>
      <t xml:space="preserve">-30% 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</si>
  <si>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싸게 들어가 점유율을 살지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시세에 붙여 마진을 살지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</si>
  <si>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B0742F"/>
        <rFont val="Arial"/>
        <family val="0"/>
        <charset val="1"/>
      </rPr>
      <t xml:space="preserve">massa </t>
    </r>
    <r>
      <rPr>
        <b val="true"/>
        <sz val="10"/>
        <color rgb="FFB0742F"/>
        <rFont val="Noto Sans CJK SC"/>
        <family val="2"/>
      </rPr>
      <t xml:space="preserve">가 비싸다</t>
    </r>
  </si>
  <si>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 전 항목</t>
    </r>
  </si>
  <si>
    <r>
      <rPr>
        <sz val="10"/>
        <rFont val="Arial"/>
        <family val="0"/>
        <charset val="1"/>
      </rPr>
      <t xml:space="preserve">massa </t>
    </r>
    <r>
      <rPr>
        <sz val="10"/>
        <rFont val="Noto Sans CJK SC"/>
        <family val="2"/>
      </rPr>
      <t xml:space="preserve">대부분 </t>
    </r>
    <r>
      <rPr>
        <sz val="10"/>
        <rFont val="Arial"/>
        <family val="0"/>
        <charset val="1"/>
      </rPr>
      <t xml:space="preserve">850,000 · </t>
    </r>
    <r>
      <rPr>
        <sz val="10"/>
        <rFont val="Noto Sans CJK SC"/>
        <family val="2"/>
      </rPr>
      <t xml:space="preserve">핫스톤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아로마테라피 </t>
    </r>
    <r>
      <rPr>
        <sz val="10"/>
        <rFont val="Arial"/>
        <family val="0"/>
        <charset val="1"/>
      </rPr>
      <t xml:space="preserve">950,000 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GLOW </t>
    </r>
    <r>
      <rPr>
        <sz val="10"/>
        <rFont val="Noto Sans CJK SC"/>
        <family val="2"/>
      </rPr>
      <t xml:space="preserve">중앙값 </t>
    </r>
    <r>
      <rPr>
        <sz val="10"/>
        <rFont val="Arial"/>
        <family val="0"/>
        <charset val="1"/>
      </rPr>
      <t xml:space="preserve">700,000. +21% ~ +36% 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</si>
  <si>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가장 눈에 띄는 역전입니다</t>
    </r>
    <r>
      <rPr>
        <sz val="10"/>
        <rFont val="Arial"/>
        <family val="0"/>
        <charset val="1"/>
      </rPr>
      <t xml:space="preserve">. 120</t>
    </r>
    <r>
      <rPr>
        <sz val="10"/>
        <rFont val="Noto Sans CJK SC"/>
        <family val="2"/>
      </rPr>
      <t xml:space="preserve">분을 내릴지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프리미엄으로 남길지</t>
    </r>
    <r>
      <rPr>
        <sz val="10"/>
        <rFont val="Arial"/>
        <family val="0"/>
        <charset val="1"/>
      </rPr>
      <t xml:space="preserve">.</t>
    </r>
  </si>
  <si>
    <t xml:space="preserve">이상한 지점</t>
  </si>
  <si>
    <t xml:space="preserve">시간이 길수록 분당 단가가 오른다</t>
  </si>
  <si>
    <r>
      <rPr>
        <sz val="10"/>
        <rFont val="Arial"/>
        <family val="0"/>
        <charset val="1"/>
      </rPr>
      <t xml:space="preserve">massa </t>
    </r>
    <r>
      <rPr>
        <sz val="10"/>
        <rFont val="Noto Sans CJK SC"/>
        <family val="2"/>
      </rPr>
      <t xml:space="preserve">다리 마사지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5,833₫/</t>
    </r>
    <r>
      <rPr>
        <sz val="10"/>
        <rFont val="Noto Sans CJK SC"/>
        <family val="2"/>
      </rPr>
      <t xml:space="preserve">분 →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7,083₫/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. GLOW 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8,333 → 5,833 </t>
    </r>
    <r>
      <rPr>
        <sz val="10"/>
        <rFont val="Noto Sans CJK SC"/>
        <family val="2"/>
      </rPr>
      <t xml:space="preserve">으로 내려갑니다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</si>
  <si>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보통 장시간은 할인합니다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지금 구조는 반대입니다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</si>
  <si>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massa 30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200,000 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GLOW 40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400,000~500,000</t>
    </r>
  </si>
  <si>
    <r>
      <rPr>
        <sz val="10"/>
        <rFont val="Noto Sans CJK SC"/>
        <family val="2"/>
      </rPr>
      <t xml:space="preserve">분당으로 봐도 </t>
    </r>
    <r>
      <rPr>
        <sz val="10"/>
        <rFont val="Arial"/>
        <family val="0"/>
        <charset val="1"/>
      </rPr>
      <t xml:space="preserve">massa 6,667₫ 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GLOW 10,000₫. </t>
    </r>
    <r>
      <rPr>
        <sz val="10"/>
        <rFont val="Noto Sans CJK SC"/>
        <family val="2"/>
      </rPr>
      <t xml:space="preserve">절반 수준입니다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</si>
  <si>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귀청소는 올릴 여지가 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시간도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분으로 맞출지</t>
    </r>
    <r>
      <rPr>
        <sz val="10"/>
        <rFont val="Arial"/>
        <family val="0"/>
        <charset val="1"/>
      </rPr>
      <t xml:space="preserve">.</t>
    </r>
  </si>
  <si>
    <t xml:space="preserve">한국식 스크럽</t>
  </si>
  <si>
    <r>
      <rPr>
        <sz val="10"/>
        <rFont val="Arial"/>
        <family val="0"/>
        <charset val="1"/>
      </rPr>
      <t xml:space="preserve">massa 60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500,000 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GLOW 60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600,000~700,000</t>
    </r>
  </si>
  <si>
    <r>
      <rPr>
        <sz val="10"/>
        <rFont val="Arial"/>
        <family val="0"/>
        <charset val="1"/>
      </rPr>
      <t xml:space="preserve">-17% ~ -29%. </t>
    </r>
    <r>
      <rPr>
        <sz val="10"/>
        <rFont val="Noto Sans CJK SC"/>
        <family val="2"/>
      </rPr>
      <t xml:space="preserve">한국식은 </t>
    </r>
    <r>
      <rPr>
        <sz val="10"/>
        <rFont val="Arial"/>
        <family val="0"/>
        <charset val="1"/>
      </rPr>
      <t xml:space="preserve">massa </t>
    </r>
    <r>
      <rPr>
        <sz val="10"/>
        <rFont val="Noto Sans CJK SC"/>
        <family val="2"/>
      </rPr>
      <t xml:space="preserve">의 강점인데 값이 더 쌉니다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</si>
  <si>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간판 상품이라면 시세만큼은 받을지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</si>
  <si>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비키니 </t>
    </r>
    <r>
      <rPr>
        <sz val="10"/>
        <rFont val="Arial"/>
        <family val="0"/>
        <charset val="1"/>
      </rPr>
      <t xml:space="preserve">massa 45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500,000 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GLOW 60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600,000~700,000</t>
    </r>
  </si>
  <si>
    <r>
      <rPr>
        <sz val="10"/>
        <rFont val="Noto Sans CJK SC"/>
        <family val="2"/>
      </rPr>
      <t xml:space="preserve">겨드랑이는 </t>
    </r>
    <r>
      <rPr>
        <sz val="10"/>
        <rFont val="Arial"/>
        <family val="0"/>
        <charset val="1"/>
      </rPr>
      <t xml:space="preserve">massa 30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250,000 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GLOW 60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450,000. </t>
    </r>
    <r>
      <rPr>
        <sz val="10"/>
        <rFont val="Noto Sans CJK SC"/>
        <family val="2"/>
      </rPr>
      <t xml:space="preserve">시간이 달라 직접 비교는 조심해야 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</si>
  <si>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왁싱 시간 단위를 </t>
    </r>
    <r>
      <rPr>
        <sz val="10"/>
        <rFont val="Arial"/>
        <family val="0"/>
        <charset val="1"/>
      </rPr>
      <t xml:space="preserve">GLOW </t>
    </r>
    <r>
      <rPr>
        <sz val="10"/>
        <rFont val="Noto Sans CJK SC"/>
        <family val="2"/>
      </rPr>
      <t xml:space="preserve">와 맞출지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</si>
  <si>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네일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각질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부위별 왁싱 일부</t>
    </r>
  </si>
  <si>
    <r>
      <rPr>
        <sz val="10"/>
        <rFont val="Arial"/>
        <family val="0"/>
        <charset val="1"/>
      </rPr>
      <t xml:space="preserve">GLOW </t>
    </r>
    <r>
      <rPr>
        <sz val="10"/>
        <rFont val="Noto Sans CJK SC"/>
        <family val="2"/>
      </rPr>
      <t xml:space="preserve">하노이 프로필에서 같은 항목을 찾지 못했습니다</t>
    </r>
    <r>
      <rPr>
        <sz val="10"/>
        <rFont val="Arial"/>
        <family val="0"/>
        <charset val="1"/>
      </rPr>
      <t xml:space="preserve">. GLOW </t>
    </r>
    <r>
      <rPr>
        <sz val="10"/>
        <rFont val="Noto Sans CJK SC"/>
        <family val="2"/>
      </rPr>
      <t xml:space="preserve">앱 안에는 있을 수 있으나 공개 페이지에는 없습니다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</si>
  <si>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경쟁이 적은 영역일 수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값을 스스로 정해도 됩니다</t>
    </r>
    <r>
      <rPr>
        <sz val="10"/>
        <rFont val="Arial"/>
        <family val="0"/>
        <charset val="1"/>
      </rPr>
      <t xml:space="preserve">.</t>
    </r>
  </si>
  <si>
    <t xml:space="preserve">표본의 한계</t>
  </si>
  <si>
    <t xml:space="preserve">이 값은 공개 프로필 기준</t>
  </si>
  <si>
    <r>
      <rPr>
        <sz val="10"/>
        <rFont val="Noto Sans CJK SC"/>
        <family val="2"/>
      </rPr>
      <t xml:space="preserve">하노이 기사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명의 공개 페이지에서 긁었습니다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앱 안 가격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할인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프로모션은 다를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</si>
  <si>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중요한 결정 전에는 </t>
    </r>
    <r>
      <rPr>
        <sz val="10"/>
        <rFont val="Arial"/>
        <family val="0"/>
        <charset val="1"/>
      </rPr>
      <t xml:space="preserve">GLOW </t>
    </r>
    <r>
      <rPr>
        <sz val="10"/>
        <rFont val="Noto Sans CJK SC"/>
        <family val="2"/>
      </rPr>
      <t xml:space="preserve">앱에서 직접 한 번 확인하실 것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</si>
</sst>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+0.0%;[RED]\-0.0%;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A2320"/>
      <name val="Arial"/>
      <family val="0"/>
      <charset val="1"/>
    </font>
    <font>
      <b val="true"/>
      <sz val="15"/>
      <color rgb="FF2A2320"/>
      <name val="Noto Sans CJK SC"/>
      <family val="2"/>
    </font>
    <font>
      <sz val="9"/>
      <color rgb="FF6B5F57"/>
      <name val="Arial"/>
      <family val="0"/>
      <charset val="1"/>
    </font>
    <font>
      <sz val="9"/>
      <color rgb="FF6B5F57"/>
      <name val="Noto Sans CJK SC"/>
      <family val="2"/>
    </font>
    <font>
      <b val="true"/>
      <sz val="10"/>
      <color rgb="FF2A2320"/>
      <name val="Noto Sans CJK SC"/>
      <family val="2"/>
    </font>
    <font>
      <b val="true"/>
      <sz val="10"/>
      <color rgb="FF2A2320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2A232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9A8F84"/>
      <name val="Noto Sans CJK SC"/>
      <family val="2"/>
    </font>
    <font>
      <b val="true"/>
      <sz val="10"/>
      <color rgb="FFB0742F"/>
      <name val="Arial"/>
      <family val="0"/>
      <charset val="1"/>
    </font>
    <font>
      <b val="true"/>
      <sz val="10"/>
      <name val="Noto Sans CJK SC"/>
      <family val="2"/>
    </font>
    <font>
      <sz val="10"/>
      <color rgb="FF6B5F57"/>
      <name val="Arial"/>
      <family val="0"/>
      <charset val="1"/>
    </font>
    <font>
      <b val="true"/>
      <sz val="10"/>
      <color rgb="FFB0742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1E9DE"/>
        <bgColor rgb="FFFBE7EC"/>
      </patternFill>
    </fill>
    <fill>
      <patternFill patternType="solid">
        <fgColor rgb="FFE7F1EA"/>
        <bgColor rgb="FFF1E9DE"/>
      </patternFill>
    </fill>
    <fill>
      <patternFill patternType="solid">
        <fgColor rgb="FFFFFF00"/>
        <bgColor rgb="FFFFFF00"/>
      </patternFill>
    </fill>
    <fill>
      <patternFill patternType="solid">
        <fgColor rgb="FFFBE7EC"/>
        <bgColor rgb="FFF1E9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D8CB"/>
      </left>
      <right style="thin">
        <color rgb="FFE2D8CB"/>
      </right>
      <top style="thin">
        <color rgb="FFE2D8CB"/>
      </top>
      <bottom style="thin">
        <color rgb="FFE2D8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F1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42F"/>
      <rgbColor rgb="FF800080"/>
      <rgbColor rgb="FF008080"/>
      <rgbColor rgb="FFC0C0C0"/>
      <rgbColor rgb="FF808080"/>
      <rgbColor rgb="FF9999FF"/>
      <rgbColor rgb="FF993366"/>
      <rgbColor rgb="FFF1E9DE"/>
      <rgbColor rgb="FFFBE7EC"/>
      <rgbColor rgb="FF660066"/>
      <rgbColor rgb="FFFF8080"/>
      <rgbColor rgb="FF0066CC"/>
      <rgbColor rgb="FFE2D8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F57"/>
      <rgbColor rgb="FF9A8F84"/>
      <rgbColor rgb="FF003366"/>
      <rgbColor rgb="FF339966"/>
      <rgbColor rgb="FF003300"/>
      <rgbColor rgb="FF333300"/>
      <rgbColor rgb="FF993300"/>
      <rgbColor rgb="FF993366"/>
      <rgbColor rgb="FF333399"/>
      <rgbColor rgb="FF2A23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9" min="7" style="0" width="12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7"/>
  </cols>
  <sheetData>
    <row r="1" customFormat="false" ht="23.1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2</v>
      </c>
    </row>
    <row r="5" customFormat="false" ht="33.75" hidden="false" customHeight="true" outlineLevel="0" collapsed="false">
      <c r="A5" s="4" t="s">
        <v>3</v>
      </c>
      <c r="B5" s="5" t="s">
        <v>4</v>
      </c>
      <c r="C5" s="4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15" hidden="false" customHeight="false" outlineLevel="0" collapsed="false">
      <c r="A6" s="6" t="s">
        <v>16</v>
      </c>
      <c r="B6" s="6" t="s">
        <v>17</v>
      </c>
      <c r="C6" s="7" t="n">
        <v>60</v>
      </c>
      <c r="D6" s="8" t="n">
        <v>350000</v>
      </c>
      <c r="E6" s="9" t="s">
        <v>18</v>
      </c>
      <c r="F6" s="7" t="n">
        <v>60</v>
      </c>
      <c r="G6" s="10" t="n">
        <v>500000</v>
      </c>
      <c r="H6" s="11" t="n">
        <v>500000</v>
      </c>
      <c r="I6" s="10" t="n">
        <v>700000</v>
      </c>
      <c r="J6" s="12" t="n">
        <f aca="false">IFERROR(D6/H6-1,"")</f>
        <v>-0.3</v>
      </c>
      <c r="K6" s="13"/>
      <c r="L6" s="14" t="str">
        <f aca="false">IF(K6="","",IFERROR(K6/H6-1,""))</f>
        <v/>
      </c>
      <c r="M6" s="15" t="n">
        <v>39</v>
      </c>
    </row>
    <row r="7" customFormat="false" ht="15" hidden="false" customHeight="false" outlineLevel="0" collapsed="false">
      <c r="A7" s="6" t="s">
        <v>16</v>
      </c>
      <c r="B7" s="6" t="s">
        <v>19</v>
      </c>
      <c r="C7" s="7" t="n">
        <v>90</v>
      </c>
      <c r="D7" s="8" t="n">
        <v>500000</v>
      </c>
      <c r="E7" s="9" t="s">
        <v>18</v>
      </c>
      <c r="F7" s="7" t="n">
        <v>90</v>
      </c>
      <c r="G7" s="10" t="n">
        <v>600000</v>
      </c>
      <c r="H7" s="11" t="n">
        <v>600000</v>
      </c>
      <c r="I7" s="10" t="n">
        <v>800000</v>
      </c>
      <c r="J7" s="12" t="n">
        <f aca="false">IFERROR(D7/H7-1,"")</f>
        <v>-0.166666666666667</v>
      </c>
      <c r="K7" s="13"/>
      <c r="L7" s="14" t="str">
        <f aca="false">IF(K7="","",IFERROR(K7/H7-1,""))</f>
        <v/>
      </c>
      <c r="M7" s="15" t="n">
        <v>38</v>
      </c>
    </row>
    <row r="8" customFormat="false" ht="15" hidden="false" customHeight="false" outlineLevel="0" collapsed="false">
      <c r="A8" s="6" t="s">
        <v>16</v>
      </c>
      <c r="B8" s="6" t="s">
        <v>20</v>
      </c>
      <c r="C8" s="7" t="n">
        <v>120</v>
      </c>
      <c r="D8" s="16" t="n">
        <v>850000</v>
      </c>
      <c r="E8" s="9" t="s">
        <v>18</v>
      </c>
      <c r="F8" s="7" t="n">
        <v>120</v>
      </c>
      <c r="G8" s="10" t="n">
        <v>700000</v>
      </c>
      <c r="H8" s="17" t="n">
        <v>700000</v>
      </c>
      <c r="I8" s="10" t="n">
        <v>1000000</v>
      </c>
      <c r="J8" s="18" t="n">
        <f aca="false">IFERROR(D8/H8-1,"")</f>
        <v>0.214285714285714</v>
      </c>
      <c r="K8" s="13"/>
      <c r="L8" s="14" t="str">
        <f aca="false">IF(K8="","",IFERROR(K8/H8-1,""))</f>
        <v/>
      </c>
      <c r="M8" s="15" t="n">
        <v>38</v>
      </c>
    </row>
    <row r="9" customFormat="false" ht="15" hidden="false" customHeight="false" outlineLevel="0" collapsed="false">
      <c r="A9" s="6" t="s">
        <v>16</v>
      </c>
      <c r="B9" s="6" t="s">
        <v>21</v>
      </c>
      <c r="C9" s="7" t="n">
        <v>60</v>
      </c>
      <c r="D9" s="8" t="n">
        <v>400000</v>
      </c>
      <c r="E9" s="9" t="s">
        <v>22</v>
      </c>
      <c r="F9" s="7" t="n">
        <v>60</v>
      </c>
      <c r="G9" s="10" t="n">
        <v>500000</v>
      </c>
      <c r="H9" s="11" t="n">
        <v>500000</v>
      </c>
      <c r="I9" s="10" t="n">
        <v>500000</v>
      </c>
      <c r="J9" s="12" t="n">
        <f aca="false">IFERROR(D9/H9-1,"")</f>
        <v>-0.2</v>
      </c>
      <c r="K9" s="13"/>
      <c r="L9" s="14" t="str">
        <f aca="false">IF(K9="","",IFERROR(K9/H9-1,""))</f>
        <v/>
      </c>
      <c r="M9" s="15" t="n">
        <v>6</v>
      </c>
    </row>
    <row r="10" customFormat="false" ht="15" hidden="false" customHeight="false" outlineLevel="0" collapsed="false">
      <c r="A10" s="6" t="s">
        <v>16</v>
      </c>
      <c r="B10" s="6" t="s">
        <v>23</v>
      </c>
      <c r="C10" s="7" t="n">
        <v>90</v>
      </c>
      <c r="D10" s="16" t="n">
        <v>650000</v>
      </c>
      <c r="E10" s="9" t="s">
        <v>22</v>
      </c>
      <c r="F10" s="7" t="n">
        <v>90</v>
      </c>
      <c r="G10" s="10" t="n">
        <v>600000</v>
      </c>
      <c r="H10" s="17" t="n">
        <v>600000</v>
      </c>
      <c r="I10" s="10" t="n">
        <v>600000</v>
      </c>
      <c r="J10" s="18" t="n">
        <f aca="false">IFERROR(D10/H10-1,"")</f>
        <v>0.0833333333333333</v>
      </c>
      <c r="K10" s="13"/>
      <c r="L10" s="14" t="str">
        <f aca="false">IF(K10="","",IFERROR(K10/H10-1,""))</f>
        <v/>
      </c>
      <c r="M10" s="15" t="n">
        <v>6</v>
      </c>
    </row>
    <row r="11" customFormat="false" ht="15" hidden="false" customHeight="false" outlineLevel="0" collapsed="false">
      <c r="A11" s="6" t="s">
        <v>16</v>
      </c>
      <c r="B11" s="6" t="s">
        <v>24</v>
      </c>
      <c r="C11" s="7" t="n">
        <v>120</v>
      </c>
      <c r="D11" s="16" t="n">
        <v>850000</v>
      </c>
      <c r="E11" s="9" t="s">
        <v>22</v>
      </c>
      <c r="F11" s="7" t="n">
        <v>120</v>
      </c>
      <c r="G11" s="10" t="n">
        <v>700000</v>
      </c>
      <c r="H11" s="17" t="n">
        <v>700000</v>
      </c>
      <c r="I11" s="10" t="n">
        <v>700000</v>
      </c>
      <c r="J11" s="18" t="n">
        <f aca="false">IFERROR(D11/H11-1,"")</f>
        <v>0.214285714285714</v>
      </c>
      <c r="K11" s="13"/>
      <c r="L11" s="14" t="str">
        <f aca="false">IF(K11="","",IFERROR(K11/H11-1,""))</f>
        <v/>
      </c>
      <c r="M11" s="15" t="n">
        <v>6</v>
      </c>
    </row>
    <row r="12" customFormat="false" ht="15" hidden="false" customHeight="false" outlineLevel="0" collapsed="false">
      <c r="A12" s="6" t="s">
        <v>16</v>
      </c>
      <c r="B12" s="6" t="s">
        <v>25</v>
      </c>
      <c r="C12" s="7" t="n">
        <v>60</v>
      </c>
      <c r="D12" s="8" t="n">
        <v>350000</v>
      </c>
      <c r="E12" s="9" t="s">
        <v>26</v>
      </c>
      <c r="F12" s="7" t="n">
        <v>60</v>
      </c>
      <c r="G12" s="10" t="n">
        <v>500000</v>
      </c>
      <c r="H12" s="11" t="n">
        <v>500000</v>
      </c>
      <c r="I12" s="10" t="n">
        <v>500000</v>
      </c>
      <c r="J12" s="12" t="n">
        <f aca="false">IFERROR(D12/H12-1,"")</f>
        <v>-0.3</v>
      </c>
      <c r="K12" s="13"/>
      <c r="L12" s="14" t="str">
        <f aca="false">IF(K12="","",IFERROR(K12/H12-1,""))</f>
        <v/>
      </c>
      <c r="M12" s="15" t="n">
        <v>6</v>
      </c>
    </row>
    <row r="13" customFormat="false" ht="15" hidden="false" customHeight="false" outlineLevel="0" collapsed="false">
      <c r="A13" s="6" t="s">
        <v>16</v>
      </c>
      <c r="B13" s="6" t="s">
        <v>27</v>
      </c>
      <c r="C13" s="7" t="n">
        <v>90</v>
      </c>
      <c r="D13" s="8" t="n">
        <v>500000</v>
      </c>
      <c r="E13" s="9" t="s">
        <v>26</v>
      </c>
      <c r="F13" s="7" t="n">
        <v>90</v>
      </c>
      <c r="G13" s="10" t="n">
        <v>600000</v>
      </c>
      <c r="H13" s="11" t="n">
        <v>600000</v>
      </c>
      <c r="I13" s="10" t="n">
        <v>600000</v>
      </c>
      <c r="J13" s="12" t="n">
        <f aca="false">IFERROR(D13/H13-1,"")</f>
        <v>-0.166666666666667</v>
      </c>
      <c r="K13" s="13"/>
      <c r="L13" s="14" t="str">
        <f aca="false">IF(K13="","",IFERROR(K13/H13-1,""))</f>
        <v/>
      </c>
      <c r="M13" s="15" t="n">
        <v>6</v>
      </c>
    </row>
    <row r="14" customFormat="false" ht="15" hidden="false" customHeight="false" outlineLevel="0" collapsed="false">
      <c r="A14" s="6" t="s">
        <v>16</v>
      </c>
      <c r="B14" s="6" t="s">
        <v>28</v>
      </c>
      <c r="C14" s="7" t="n">
        <v>120</v>
      </c>
      <c r="D14" s="16" t="n">
        <v>850000</v>
      </c>
      <c r="E14" s="9" t="s">
        <v>26</v>
      </c>
      <c r="F14" s="7" t="n">
        <v>120</v>
      </c>
      <c r="G14" s="10" t="n">
        <v>700000</v>
      </c>
      <c r="H14" s="17" t="n">
        <v>700000</v>
      </c>
      <c r="I14" s="10" t="n">
        <v>700000</v>
      </c>
      <c r="J14" s="18" t="n">
        <f aca="false">IFERROR(D14/H14-1,"")</f>
        <v>0.214285714285714</v>
      </c>
      <c r="K14" s="13"/>
      <c r="L14" s="14" t="str">
        <f aca="false">IF(K14="","",IFERROR(K14/H14-1,""))</f>
        <v/>
      </c>
      <c r="M14" s="15" t="n">
        <v>6</v>
      </c>
    </row>
    <row r="15" customFormat="false" ht="15" hidden="false" customHeight="false" outlineLevel="0" collapsed="false">
      <c r="A15" s="6" t="s">
        <v>16</v>
      </c>
      <c r="B15" s="6" t="s">
        <v>29</v>
      </c>
      <c r="C15" s="7" t="n">
        <v>60</v>
      </c>
      <c r="D15" s="8" t="n">
        <v>400000</v>
      </c>
      <c r="E15" s="9" t="s">
        <v>30</v>
      </c>
      <c r="F15" s="7" t="n">
        <v>60</v>
      </c>
      <c r="G15" s="10" t="n">
        <v>500000</v>
      </c>
      <c r="H15" s="11" t="n">
        <v>500000</v>
      </c>
      <c r="I15" s="10" t="n">
        <v>700000</v>
      </c>
      <c r="J15" s="12" t="n">
        <f aca="false">IFERROR(D15/H15-1,"")</f>
        <v>-0.2</v>
      </c>
      <c r="K15" s="13"/>
      <c r="L15" s="14" t="str">
        <f aca="false">IF(K15="","",IFERROR(K15/H15-1,""))</f>
        <v/>
      </c>
      <c r="M15" s="15" t="n">
        <v>34</v>
      </c>
    </row>
    <row r="16" customFormat="false" ht="15" hidden="false" customHeight="false" outlineLevel="0" collapsed="false">
      <c r="A16" s="6" t="s">
        <v>16</v>
      </c>
      <c r="B16" s="6" t="s">
        <v>31</v>
      </c>
      <c r="C16" s="7" t="n">
        <v>90</v>
      </c>
      <c r="D16" s="16" t="n">
        <v>650000</v>
      </c>
      <c r="E16" s="9" t="s">
        <v>30</v>
      </c>
      <c r="F16" s="7" t="n">
        <v>90</v>
      </c>
      <c r="G16" s="10" t="n">
        <v>600000</v>
      </c>
      <c r="H16" s="17" t="n">
        <v>600000</v>
      </c>
      <c r="I16" s="10" t="n">
        <v>800000</v>
      </c>
      <c r="J16" s="18" t="n">
        <f aca="false">IFERROR(D16/H16-1,"")</f>
        <v>0.0833333333333333</v>
      </c>
      <c r="K16" s="13"/>
      <c r="L16" s="14" t="str">
        <f aca="false">IF(K16="","",IFERROR(K16/H16-1,""))</f>
        <v/>
      </c>
      <c r="M16" s="15" t="n">
        <v>33</v>
      </c>
    </row>
    <row r="17" customFormat="false" ht="15" hidden="false" customHeight="false" outlineLevel="0" collapsed="false">
      <c r="A17" s="6" t="s">
        <v>16</v>
      </c>
      <c r="B17" s="6" t="s">
        <v>32</v>
      </c>
      <c r="C17" s="7" t="n">
        <v>120</v>
      </c>
      <c r="D17" s="16" t="n">
        <v>850000</v>
      </c>
      <c r="E17" s="9" t="s">
        <v>30</v>
      </c>
      <c r="F17" s="7" t="n">
        <v>120</v>
      </c>
      <c r="G17" s="10" t="n">
        <v>700000</v>
      </c>
      <c r="H17" s="17" t="n">
        <v>700000</v>
      </c>
      <c r="I17" s="10" t="n">
        <v>1000000</v>
      </c>
      <c r="J17" s="18" t="n">
        <f aca="false">IFERROR(D17/H17-1,"")</f>
        <v>0.214285714285714</v>
      </c>
      <c r="K17" s="13"/>
      <c r="L17" s="14" t="str">
        <f aca="false">IF(K17="","",IFERROR(K17/H17-1,""))</f>
        <v/>
      </c>
      <c r="M17" s="15" t="n">
        <v>33</v>
      </c>
    </row>
    <row r="18" customFormat="false" ht="15" hidden="false" customHeight="false" outlineLevel="0" collapsed="false">
      <c r="A18" s="6" t="s">
        <v>16</v>
      </c>
      <c r="B18" s="6" t="s">
        <v>33</v>
      </c>
      <c r="C18" s="7" t="n">
        <v>60</v>
      </c>
      <c r="D18" s="8" t="n">
        <v>450000</v>
      </c>
      <c r="E18" s="9" t="s">
        <v>34</v>
      </c>
      <c r="F18" s="7" t="n">
        <v>60</v>
      </c>
      <c r="G18" s="10" t="n">
        <v>500000</v>
      </c>
      <c r="H18" s="11" t="n">
        <v>500000</v>
      </c>
      <c r="I18" s="10" t="n">
        <v>700000</v>
      </c>
      <c r="J18" s="12" t="n">
        <f aca="false">IFERROR(D18/H18-1,"")</f>
        <v>-0.1</v>
      </c>
      <c r="K18" s="13"/>
      <c r="L18" s="14" t="str">
        <f aca="false">IF(K18="","",IFERROR(K18/H18-1,""))</f>
        <v/>
      </c>
      <c r="M18" s="15" t="n">
        <v>39</v>
      </c>
    </row>
    <row r="19" customFormat="false" ht="15" hidden="false" customHeight="false" outlineLevel="0" collapsed="false">
      <c r="A19" s="6" t="s">
        <v>16</v>
      </c>
      <c r="B19" s="6" t="s">
        <v>35</v>
      </c>
      <c r="C19" s="7" t="n">
        <v>90</v>
      </c>
      <c r="D19" s="16" t="n">
        <v>650000</v>
      </c>
      <c r="E19" s="9" t="s">
        <v>34</v>
      </c>
      <c r="F19" s="7" t="n">
        <v>90</v>
      </c>
      <c r="G19" s="10" t="n">
        <v>600000</v>
      </c>
      <c r="H19" s="17" t="n">
        <v>600000</v>
      </c>
      <c r="I19" s="10" t="n">
        <v>800000</v>
      </c>
      <c r="J19" s="18" t="n">
        <f aca="false">IFERROR(D19/H19-1,"")</f>
        <v>0.0833333333333333</v>
      </c>
      <c r="K19" s="13"/>
      <c r="L19" s="14" t="str">
        <f aca="false">IF(K19="","",IFERROR(K19/H19-1,""))</f>
        <v/>
      </c>
      <c r="M19" s="15" t="n">
        <v>38</v>
      </c>
    </row>
    <row r="20" customFormat="false" ht="15" hidden="false" customHeight="false" outlineLevel="0" collapsed="false">
      <c r="A20" s="6" t="s">
        <v>16</v>
      </c>
      <c r="B20" s="6" t="s">
        <v>36</v>
      </c>
      <c r="C20" s="7" t="n">
        <v>60</v>
      </c>
      <c r="D20" s="10" t="n">
        <v>500000</v>
      </c>
      <c r="E20" s="9" t="s">
        <v>37</v>
      </c>
      <c r="F20" s="7" t="n">
        <v>60</v>
      </c>
      <c r="G20" s="10" t="n">
        <v>500000</v>
      </c>
      <c r="H20" s="19" t="n">
        <v>500000</v>
      </c>
      <c r="I20" s="10" t="n">
        <v>500000</v>
      </c>
      <c r="J20" s="20" t="n">
        <f aca="false">IFERROR(D20/H20-1,"")</f>
        <v>0</v>
      </c>
      <c r="K20" s="13"/>
      <c r="L20" s="14" t="str">
        <f aca="false">IF(K20="","",IFERROR(K20/H20-1,""))</f>
        <v/>
      </c>
      <c r="M20" s="15" t="n">
        <v>4</v>
      </c>
    </row>
    <row r="21" customFormat="false" ht="15" hidden="false" customHeight="false" outlineLevel="0" collapsed="false">
      <c r="A21" s="6" t="s">
        <v>16</v>
      </c>
      <c r="B21" s="6" t="s">
        <v>38</v>
      </c>
      <c r="C21" s="7" t="n">
        <v>90</v>
      </c>
      <c r="D21" s="16" t="n">
        <v>700000</v>
      </c>
      <c r="E21" s="9" t="s">
        <v>37</v>
      </c>
      <c r="F21" s="7" t="n">
        <v>90</v>
      </c>
      <c r="G21" s="10" t="n">
        <v>600000</v>
      </c>
      <c r="H21" s="17" t="n">
        <v>600000</v>
      </c>
      <c r="I21" s="10" t="n">
        <v>600000</v>
      </c>
      <c r="J21" s="18" t="n">
        <f aca="false">IFERROR(D21/H21-1,"")</f>
        <v>0.166666666666667</v>
      </c>
      <c r="K21" s="13"/>
      <c r="L21" s="14" t="str">
        <f aca="false">IF(K21="","",IFERROR(K21/H21-1,""))</f>
        <v/>
      </c>
      <c r="M21" s="15" t="n">
        <v>4</v>
      </c>
    </row>
    <row r="22" customFormat="false" ht="15" hidden="false" customHeight="false" outlineLevel="0" collapsed="false">
      <c r="A22" s="6" t="s">
        <v>16</v>
      </c>
      <c r="B22" s="6" t="s">
        <v>39</v>
      </c>
      <c r="C22" s="7" t="n">
        <v>120</v>
      </c>
      <c r="D22" s="16" t="n">
        <v>850000</v>
      </c>
      <c r="E22" s="9" t="s">
        <v>37</v>
      </c>
      <c r="F22" s="7" t="n">
        <v>120</v>
      </c>
      <c r="G22" s="10" t="n">
        <v>700000</v>
      </c>
      <c r="H22" s="17" t="n">
        <v>700000</v>
      </c>
      <c r="I22" s="10" t="n">
        <v>700000</v>
      </c>
      <c r="J22" s="18" t="n">
        <f aca="false">IFERROR(D22/H22-1,"")</f>
        <v>0.214285714285714</v>
      </c>
      <c r="K22" s="13"/>
      <c r="L22" s="14" t="str">
        <f aca="false">IF(K22="","",IFERROR(K22/H22-1,""))</f>
        <v/>
      </c>
      <c r="M22" s="15" t="n">
        <v>4</v>
      </c>
    </row>
    <row r="23" customFormat="false" ht="15" hidden="false" customHeight="false" outlineLevel="0" collapsed="false">
      <c r="A23" s="6" t="s">
        <v>16</v>
      </c>
      <c r="B23" s="6" t="s">
        <v>40</v>
      </c>
      <c r="C23" s="7" t="n">
        <v>60</v>
      </c>
      <c r="D23" s="8" t="n">
        <v>450000</v>
      </c>
      <c r="E23" s="9" t="s">
        <v>41</v>
      </c>
      <c r="F23" s="7" t="n">
        <v>60</v>
      </c>
      <c r="G23" s="10" t="n">
        <v>500000</v>
      </c>
      <c r="H23" s="11" t="n">
        <v>500000</v>
      </c>
      <c r="I23" s="10" t="n">
        <v>700000</v>
      </c>
      <c r="J23" s="12" t="n">
        <f aca="false">IFERROR(D23/H23-1,"")</f>
        <v>-0.1</v>
      </c>
      <c r="K23" s="13"/>
      <c r="L23" s="14" t="str">
        <f aca="false">IF(K23="","",IFERROR(K23/H23-1,""))</f>
        <v/>
      </c>
      <c r="M23" s="15" t="n">
        <v>39</v>
      </c>
    </row>
    <row r="24" customFormat="false" ht="15" hidden="false" customHeight="false" outlineLevel="0" collapsed="false">
      <c r="A24" s="6" t="s">
        <v>16</v>
      </c>
      <c r="B24" s="6" t="s">
        <v>42</v>
      </c>
      <c r="C24" s="7" t="n">
        <v>90</v>
      </c>
      <c r="D24" s="16" t="n">
        <v>650000</v>
      </c>
      <c r="E24" s="9" t="s">
        <v>41</v>
      </c>
      <c r="F24" s="7" t="n">
        <v>90</v>
      </c>
      <c r="G24" s="10" t="n">
        <v>600000</v>
      </c>
      <c r="H24" s="17" t="n">
        <v>600000</v>
      </c>
      <c r="I24" s="10" t="n">
        <v>800000</v>
      </c>
      <c r="J24" s="18" t="n">
        <f aca="false">IFERROR(D24/H24-1,"")</f>
        <v>0.0833333333333333</v>
      </c>
      <c r="K24" s="13"/>
      <c r="L24" s="14" t="str">
        <f aca="false">IF(K24="","",IFERROR(K24/H24-1,""))</f>
        <v/>
      </c>
      <c r="M24" s="15" t="n">
        <v>38</v>
      </c>
    </row>
    <row r="25" customFormat="false" ht="15" hidden="false" customHeight="false" outlineLevel="0" collapsed="false">
      <c r="A25" s="6" t="s">
        <v>16</v>
      </c>
      <c r="B25" s="6" t="s">
        <v>43</v>
      </c>
      <c r="C25" s="7" t="n">
        <v>120</v>
      </c>
      <c r="D25" s="16" t="n">
        <v>850000</v>
      </c>
      <c r="E25" s="9" t="s">
        <v>41</v>
      </c>
      <c r="F25" s="7" t="n">
        <v>120</v>
      </c>
      <c r="G25" s="10" t="n">
        <v>700000</v>
      </c>
      <c r="H25" s="17" t="n">
        <v>700000</v>
      </c>
      <c r="I25" s="10" t="n">
        <v>1000000</v>
      </c>
      <c r="J25" s="18" t="n">
        <f aca="false">IFERROR(D25/H25-1,"")</f>
        <v>0.214285714285714</v>
      </c>
      <c r="K25" s="13"/>
      <c r="L25" s="14" t="str">
        <f aca="false">IF(K25="","",IFERROR(K25/H25-1,""))</f>
        <v/>
      </c>
      <c r="M25" s="15" t="n">
        <v>38</v>
      </c>
    </row>
    <row r="26" customFormat="false" ht="15" hidden="false" customHeight="false" outlineLevel="0" collapsed="false">
      <c r="A26" s="6" t="s">
        <v>16</v>
      </c>
      <c r="B26" s="6" t="s">
        <v>44</v>
      </c>
      <c r="C26" s="7" t="n">
        <v>60</v>
      </c>
      <c r="D26" s="16" t="n">
        <v>550000</v>
      </c>
      <c r="E26" s="9" t="s">
        <v>41</v>
      </c>
      <c r="F26" s="7" t="n">
        <v>60</v>
      </c>
      <c r="G26" s="10" t="n">
        <v>500000</v>
      </c>
      <c r="H26" s="17" t="n">
        <v>500000</v>
      </c>
      <c r="I26" s="10" t="n">
        <v>700000</v>
      </c>
      <c r="J26" s="18" t="n">
        <f aca="false">IFERROR(D26/H26-1,"")</f>
        <v>0.1</v>
      </c>
      <c r="K26" s="13"/>
      <c r="L26" s="14" t="str">
        <f aca="false">IF(K26="","",IFERROR(K26/H26-1,""))</f>
        <v/>
      </c>
      <c r="M26" s="15" t="n">
        <v>39</v>
      </c>
    </row>
    <row r="27" customFormat="false" ht="15" hidden="false" customHeight="false" outlineLevel="0" collapsed="false">
      <c r="A27" s="6" t="s">
        <v>16</v>
      </c>
      <c r="B27" s="6" t="s">
        <v>45</v>
      </c>
      <c r="C27" s="7" t="n">
        <v>90</v>
      </c>
      <c r="D27" s="16" t="n">
        <v>750000</v>
      </c>
      <c r="E27" s="9" t="s">
        <v>41</v>
      </c>
      <c r="F27" s="7" t="n">
        <v>90</v>
      </c>
      <c r="G27" s="10" t="n">
        <v>600000</v>
      </c>
      <c r="H27" s="17" t="n">
        <v>600000</v>
      </c>
      <c r="I27" s="10" t="n">
        <v>800000</v>
      </c>
      <c r="J27" s="18" t="n">
        <f aca="false">IFERROR(D27/H27-1,"")</f>
        <v>0.25</v>
      </c>
      <c r="K27" s="13"/>
      <c r="L27" s="14" t="str">
        <f aca="false">IF(K27="","",IFERROR(K27/H27-1,""))</f>
        <v/>
      </c>
      <c r="M27" s="15" t="n">
        <v>38</v>
      </c>
    </row>
    <row r="28" customFormat="false" ht="15" hidden="false" customHeight="false" outlineLevel="0" collapsed="false">
      <c r="A28" s="6" t="s">
        <v>16</v>
      </c>
      <c r="B28" s="6" t="s">
        <v>46</v>
      </c>
      <c r="C28" s="7" t="n">
        <v>120</v>
      </c>
      <c r="D28" s="16" t="n">
        <v>950000</v>
      </c>
      <c r="E28" s="9" t="s">
        <v>41</v>
      </c>
      <c r="F28" s="7" t="n">
        <v>120</v>
      </c>
      <c r="G28" s="10" t="n">
        <v>700000</v>
      </c>
      <c r="H28" s="17" t="n">
        <v>700000</v>
      </c>
      <c r="I28" s="10" t="n">
        <v>1000000</v>
      </c>
      <c r="J28" s="18" t="n">
        <f aca="false">IFERROR(D28/H28-1,"")</f>
        <v>0.357142857142857</v>
      </c>
      <c r="K28" s="13"/>
      <c r="L28" s="14" t="str">
        <f aca="false">IF(K28="","",IFERROR(K28/H28-1,""))</f>
        <v/>
      </c>
      <c r="M28" s="15" t="n">
        <v>38</v>
      </c>
    </row>
    <row r="29" customFormat="false" ht="15" hidden="false" customHeight="false" outlineLevel="0" collapsed="false">
      <c r="A29" s="6" t="s">
        <v>16</v>
      </c>
      <c r="B29" s="6" t="s">
        <v>47</v>
      </c>
      <c r="C29" s="7" t="n">
        <v>60</v>
      </c>
      <c r="D29" s="8" t="n">
        <v>400000</v>
      </c>
      <c r="E29" s="9" t="s">
        <v>30</v>
      </c>
      <c r="F29" s="7" t="n">
        <v>60</v>
      </c>
      <c r="G29" s="10" t="n">
        <v>500000</v>
      </c>
      <c r="H29" s="11" t="n">
        <v>500000</v>
      </c>
      <c r="I29" s="10" t="n">
        <v>700000</v>
      </c>
      <c r="J29" s="12" t="n">
        <f aca="false">IFERROR(D29/H29-1,"")</f>
        <v>-0.2</v>
      </c>
      <c r="K29" s="13"/>
      <c r="L29" s="14" t="str">
        <f aca="false">IF(K29="","",IFERROR(K29/H29-1,""))</f>
        <v/>
      </c>
      <c r="M29" s="15" t="n">
        <v>34</v>
      </c>
    </row>
    <row r="30" customFormat="false" ht="15" hidden="false" customHeight="false" outlineLevel="0" collapsed="false">
      <c r="A30" s="6" t="s">
        <v>16</v>
      </c>
      <c r="B30" s="6" t="s">
        <v>48</v>
      </c>
      <c r="C30" s="7" t="n">
        <v>90</v>
      </c>
      <c r="D30" s="16" t="n">
        <v>650000</v>
      </c>
      <c r="E30" s="9" t="s">
        <v>30</v>
      </c>
      <c r="F30" s="7" t="n">
        <v>90</v>
      </c>
      <c r="G30" s="10" t="n">
        <v>600000</v>
      </c>
      <c r="H30" s="17" t="n">
        <v>600000</v>
      </c>
      <c r="I30" s="10" t="n">
        <v>800000</v>
      </c>
      <c r="J30" s="18" t="n">
        <f aca="false">IFERROR(D30/H30-1,"")</f>
        <v>0.0833333333333333</v>
      </c>
      <c r="K30" s="13"/>
      <c r="L30" s="14" t="str">
        <f aca="false">IF(K30="","",IFERROR(K30/H30-1,""))</f>
        <v/>
      </c>
      <c r="M30" s="15" t="n">
        <v>33</v>
      </c>
    </row>
    <row r="31" customFormat="false" ht="15" hidden="false" customHeight="false" outlineLevel="0" collapsed="false">
      <c r="A31" s="6" t="s">
        <v>16</v>
      </c>
      <c r="B31" s="6" t="s">
        <v>49</v>
      </c>
      <c r="C31" s="7" t="n">
        <v>120</v>
      </c>
      <c r="D31" s="16" t="n">
        <v>850000</v>
      </c>
      <c r="E31" s="9" t="s">
        <v>30</v>
      </c>
      <c r="F31" s="7" t="n">
        <v>120</v>
      </c>
      <c r="G31" s="10" t="n">
        <v>700000</v>
      </c>
      <c r="H31" s="17" t="n">
        <v>700000</v>
      </c>
      <c r="I31" s="10" t="n">
        <v>1000000</v>
      </c>
      <c r="J31" s="18" t="n">
        <f aca="false">IFERROR(D31/H31-1,"")</f>
        <v>0.214285714285714</v>
      </c>
      <c r="K31" s="13"/>
      <c r="L31" s="14" t="str">
        <f aca="false">IF(K31="","",IFERROR(K31/H31-1,""))</f>
        <v/>
      </c>
      <c r="M31" s="15" t="n">
        <v>33</v>
      </c>
    </row>
    <row r="32" customFormat="false" ht="15" hidden="false" customHeight="false" outlineLevel="0" collapsed="false">
      <c r="A32" s="6" t="s">
        <v>16</v>
      </c>
      <c r="B32" s="6" t="s">
        <v>50</v>
      </c>
      <c r="C32" s="7" t="n">
        <v>60</v>
      </c>
      <c r="D32" s="10" t="n">
        <v>500000</v>
      </c>
      <c r="E32" s="9" t="s">
        <v>34</v>
      </c>
      <c r="F32" s="7" t="n">
        <v>60</v>
      </c>
      <c r="G32" s="10" t="n">
        <v>500000</v>
      </c>
      <c r="H32" s="19" t="n">
        <v>500000</v>
      </c>
      <c r="I32" s="10" t="n">
        <v>700000</v>
      </c>
      <c r="J32" s="20" t="n">
        <f aca="false">IFERROR(D32/H32-1,"")</f>
        <v>0</v>
      </c>
      <c r="K32" s="13"/>
      <c r="L32" s="14" t="str">
        <f aca="false">IF(K32="","",IFERROR(K32/H32-1,""))</f>
        <v/>
      </c>
      <c r="M32" s="15" t="n">
        <v>39</v>
      </c>
    </row>
    <row r="33" customFormat="false" ht="15" hidden="false" customHeight="false" outlineLevel="0" collapsed="false">
      <c r="A33" s="6" t="s">
        <v>16</v>
      </c>
      <c r="B33" s="6" t="s">
        <v>51</v>
      </c>
      <c r="C33" s="7" t="n">
        <v>90</v>
      </c>
      <c r="D33" s="16" t="n">
        <v>700000</v>
      </c>
      <c r="E33" s="9" t="s">
        <v>34</v>
      </c>
      <c r="F33" s="7" t="n">
        <v>90</v>
      </c>
      <c r="G33" s="10" t="n">
        <v>600000</v>
      </c>
      <c r="H33" s="17" t="n">
        <v>600000</v>
      </c>
      <c r="I33" s="10" t="n">
        <v>800000</v>
      </c>
      <c r="J33" s="18" t="n">
        <f aca="false">IFERROR(D33/H33-1,"")</f>
        <v>0.166666666666667</v>
      </c>
      <c r="K33" s="13"/>
      <c r="L33" s="14" t="str">
        <f aca="false">IF(K33="","",IFERROR(K33/H33-1,""))</f>
        <v/>
      </c>
      <c r="M33" s="15" t="n">
        <v>38</v>
      </c>
    </row>
    <row r="34" customFormat="false" ht="15" hidden="false" customHeight="false" outlineLevel="0" collapsed="false">
      <c r="A34" s="6" t="s">
        <v>16</v>
      </c>
      <c r="B34" s="6" t="s">
        <v>52</v>
      </c>
      <c r="C34" s="7" t="n">
        <v>120</v>
      </c>
      <c r="D34" s="16" t="n">
        <v>850000</v>
      </c>
      <c r="E34" s="9" t="s">
        <v>34</v>
      </c>
      <c r="F34" s="7" t="n">
        <v>120</v>
      </c>
      <c r="G34" s="10" t="n">
        <v>700000</v>
      </c>
      <c r="H34" s="17" t="n">
        <v>700000</v>
      </c>
      <c r="I34" s="10" t="n">
        <v>1000000</v>
      </c>
      <c r="J34" s="18" t="n">
        <f aca="false">IFERROR(D34/H34-1,"")</f>
        <v>0.214285714285714</v>
      </c>
      <c r="K34" s="13"/>
      <c r="L34" s="14" t="str">
        <f aca="false">IF(K34="","",IFERROR(K34/H34-1,""))</f>
        <v/>
      </c>
      <c r="M34" s="15" t="n">
        <v>38</v>
      </c>
    </row>
    <row r="35" customFormat="false" ht="15" hidden="false" customHeight="false" outlineLevel="0" collapsed="false">
      <c r="A35" s="6" t="s">
        <v>16</v>
      </c>
      <c r="B35" s="6" t="s">
        <v>53</v>
      </c>
      <c r="C35" s="7" t="n">
        <v>60</v>
      </c>
      <c r="D35" s="8" t="n">
        <v>450000</v>
      </c>
      <c r="E35" s="9" t="s">
        <v>54</v>
      </c>
      <c r="F35" s="7" t="n">
        <v>60</v>
      </c>
      <c r="G35" s="10" t="n">
        <v>500000</v>
      </c>
      <c r="H35" s="11" t="n">
        <v>500000</v>
      </c>
      <c r="I35" s="10" t="n">
        <v>700000</v>
      </c>
      <c r="J35" s="12" t="n">
        <f aca="false">IFERROR(D35/H35-1,"")</f>
        <v>-0.1</v>
      </c>
      <c r="K35" s="13"/>
      <c r="L35" s="14" t="str">
        <f aca="false">IF(K35="","",IFERROR(K35/H35-1,""))</f>
        <v/>
      </c>
      <c r="M35" s="15" t="n">
        <v>28</v>
      </c>
    </row>
    <row r="36" customFormat="false" ht="15" hidden="false" customHeight="false" outlineLevel="0" collapsed="false">
      <c r="A36" s="6" t="s">
        <v>16</v>
      </c>
      <c r="B36" s="6" t="s">
        <v>55</v>
      </c>
      <c r="C36" s="7" t="n">
        <v>90</v>
      </c>
      <c r="D36" s="16" t="n">
        <v>650000</v>
      </c>
      <c r="E36" s="9" t="s">
        <v>54</v>
      </c>
      <c r="F36" s="7" t="n">
        <v>90</v>
      </c>
      <c r="G36" s="10" t="n">
        <v>600000</v>
      </c>
      <c r="H36" s="17" t="n">
        <v>600000</v>
      </c>
      <c r="I36" s="10" t="n">
        <v>800000</v>
      </c>
      <c r="J36" s="18" t="n">
        <f aca="false">IFERROR(D36/H36-1,"")</f>
        <v>0.0833333333333333</v>
      </c>
      <c r="K36" s="13"/>
      <c r="L36" s="14" t="str">
        <f aca="false">IF(K36="","",IFERROR(K36/H36-1,""))</f>
        <v/>
      </c>
      <c r="M36" s="15" t="n">
        <v>28</v>
      </c>
    </row>
    <row r="37" customFormat="false" ht="15" hidden="false" customHeight="false" outlineLevel="0" collapsed="false">
      <c r="A37" s="6" t="s">
        <v>16</v>
      </c>
      <c r="B37" s="6" t="s">
        <v>56</v>
      </c>
      <c r="C37" s="7" t="n">
        <v>120</v>
      </c>
      <c r="D37" s="16" t="n">
        <v>850000</v>
      </c>
      <c r="E37" s="9" t="s">
        <v>54</v>
      </c>
      <c r="F37" s="7" t="n">
        <v>120</v>
      </c>
      <c r="G37" s="10" t="n">
        <v>700000</v>
      </c>
      <c r="H37" s="17" t="n">
        <v>700000</v>
      </c>
      <c r="I37" s="10" t="n">
        <v>1000000</v>
      </c>
      <c r="J37" s="18" t="n">
        <f aca="false">IFERROR(D37/H37-1,"")</f>
        <v>0.214285714285714</v>
      </c>
      <c r="K37" s="13"/>
      <c r="L37" s="14" t="str">
        <f aca="false">IF(K37="","",IFERROR(K37/H37-1,""))</f>
        <v/>
      </c>
      <c r="M37" s="15" t="n">
        <v>28</v>
      </c>
    </row>
    <row r="38" customFormat="false" ht="15" hidden="false" customHeight="false" outlineLevel="0" collapsed="false">
      <c r="A38" s="6" t="s">
        <v>16</v>
      </c>
      <c r="B38" s="6" t="s">
        <v>57</v>
      </c>
      <c r="C38" s="7" t="n">
        <v>60</v>
      </c>
      <c r="D38" s="8" t="n">
        <v>400000</v>
      </c>
      <c r="E38" s="9" t="s">
        <v>58</v>
      </c>
      <c r="F38" s="7" t="n">
        <v>60</v>
      </c>
      <c r="G38" s="10" t="n">
        <v>500000</v>
      </c>
      <c r="H38" s="11" t="n">
        <v>500000</v>
      </c>
      <c r="I38" s="10" t="n">
        <v>700000</v>
      </c>
      <c r="J38" s="12" t="n">
        <f aca="false">IFERROR(D38/H38-1,"")</f>
        <v>-0.2</v>
      </c>
      <c r="K38" s="13"/>
      <c r="L38" s="14" t="str">
        <f aca="false">IF(K38="","",IFERROR(K38/H38-1,""))</f>
        <v/>
      </c>
      <c r="M38" s="15" t="n">
        <v>30</v>
      </c>
    </row>
    <row r="39" customFormat="false" ht="15" hidden="false" customHeight="false" outlineLevel="0" collapsed="false">
      <c r="A39" s="6" t="s">
        <v>16</v>
      </c>
      <c r="B39" s="6" t="s">
        <v>59</v>
      </c>
      <c r="C39" s="7" t="n">
        <v>90</v>
      </c>
      <c r="D39" s="8" t="n">
        <v>550000</v>
      </c>
      <c r="E39" s="9" t="s">
        <v>58</v>
      </c>
      <c r="F39" s="7" t="n">
        <v>90</v>
      </c>
      <c r="G39" s="10" t="n">
        <v>600000</v>
      </c>
      <c r="H39" s="11" t="n">
        <v>600000</v>
      </c>
      <c r="I39" s="10" t="n">
        <v>800000</v>
      </c>
      <c r="J39" s="12" t="n">
        <f aca="false">IFERROR(D39/H39-1,"")</f>
        <v>-0.0833333333333334</v>
      </c>
      <c r="K39" s="13"/>
      <c r="L39" s="14" t="str">
        <f aca="false">IF(K39="","",IFERROR(K39/H39-1,""))</f>
        <v/>
      </c>
      <c r="M39" s="15" t="n">
        <v>29</v>
      </c>
    </row>
    <row r="40" customFormat="false" ht="15" hidden="false" customHeight="false" outlineLevel="0" collapsed="false">
      <c r="A40" s="6" t="s">
        <v>16</v>
      </c>
      <c r="B40" s="6" t="s">
        <v>60</v>
      </c>
      <c r="C40" s="7" t="n">
        <v>60</v>
      </c>
      <c r="D40" s="8" t="n">
        <v>400000</v>
      </c>
      <c r="E40" s="9" t="s">
        <v>58</v>
      </c>
      <c r="F40" s="7" t="n">
        <v>60</v>
      </c>
      <c r="G40" s="10" t="n">
        <v>500000</v>
      </c>
      <c r="H40" s="11" t="n">
        <v>500000</v>
      </c>
      <c r="I40" s="10" t="n">
        <v>700000</v>
      </c>
      <c r="J40" s="12" t="n">
        <f aca="false">IFERROR(D40/H40-1,"")</f>
        <v>-0.2</v>
      </c>
      <c r="K40" s="13"/>
      <c r="L40" s="14" t="str">
        <f aca="false">IF(K40="","",IFERROR(K40/H40-1,""))</f>
        <v/>
      </c>
      <c r="M40" s="15" t="n">
        <v>30</v>
      </c>
    </row>
    <row r="41" customFormat="false" ht="15" hidden="false" customHeight="false" outlineLevel="0" collapsed="false">
      <c r="A41" s="6" t="s">
        <v>16</v>
      </c>
      <c r="B41" s="6" t="s">
        <v>61</v>
      </c>
      <c r="C41" s="7" t="n">
        <v>90</v>
      </c>
      <c r="D41" s="8" t="n">
        <v>550000</v>
      </c>
      <c r="E41" s="9" t="s">
        <v>58</v>
      </c>
      <c r="F41" s="7" t="n">
        <v>90</v>
      </c>
      <c r="G41" s="10" t="n">
        <v>600000</v>
      </c>
      <c r="H41" s="11" t="n">
        <v>600000</v>
      </c>
      <c r="I41" s="10" t="n">
        <v>800000</v>
      </c>
      <c r="J41" s="12" t="n">
        <f aca="false">IFERROR(D41/H41-1,"")</f>
        <v>-0.0833333333333334</v>
      </c>
      <c r="K41" s="13"/>
      <c r="L41" s="14" t="str">
        <f aca="false">IF(K41="","",IFERROR(K41/H41-1,""))</f>
        <v/>
      </c>
      <c r="M41" s="15" t="n">
        <v>29</v>
      </c>
    </row>
    <row r="42" customFormat="false" ht="15" hidden="false" customHeight="false" outlineLevel="0" collapsed="false">
      <c r="A42" s="6" t="s">
        <v>16</v>
      </c>
      <c r="B42" s="6" t="s">
        <v>62</v>
      </c>
      <c r="C42" s="7" t="n">
        <v>120</v>
      </c>
      <c r="D42" s="16" t="n">
        <v>750000</v>
      </c>
      <c r="E42" s="9" t="s">
        <v>58</v>
      </c>
      <c r="F42" s="7" t="n">
        <v>120</v>
      </c>
      <c r="G42" s="10" t="n">
        <v>700000</v>
      </c>
      <c r="H42" s="17" t="n">
        <v>700000</v>
      </c>
      <c r="I42" s="10" t="n">
        <v>1000000</v>
      </c>
      <c r="J42" s="18" t="n">
        <f aca="false">IFERROR(D42/H42-1,"")</f>
        <v>0.0714285714285714</v>
      </c>
      <c r="K42" s="13"/>
      <c r="L42" s="14" t="str">
        <f aca="false">IF(K42="","",IFERROR(K42/H42-1,""))</f>
        <v/>
      </c>
      <c r="M42" s="15" t="n">
        <v>29</v>
      </c>
    </row>
    <row r="43" customFormat="false" ht="15" hidden="false" customHeight="false" outlineLevel="0" collapsed="false">
      <c r="A43" s="6" t="s">
        <v>16</v>
      </c>
      <c r="B43" s="6" t="s">
        <v>63</v>
      </c>
      <c r="C43" s="7" t="n">
        <v>60</v>
      </c>
      <c r="D43" s="8" t="n">
        <v>350000</v>
      </c>
      <c r="E43" s="9" t="s">
        <v>18</v>
      </c>
      <c r="F43" s="7" t="n">
        <v>60</v>
      </c>
      <c r="G43" s="10" t="n">
        <v>500000</v>
      </c>
      <c r="H43" s="11" t="n">
        <v>500000</v>
      </c>
      <c r="I43" s="10" t="n">
        <v>700000</v>
      </c>
      <c r="J43" s="12" t="n">
        <f aca="false">IFERROR(D43/H43-1,"")</f>
        <v>-0.3</v>
      </c>
      <c r="K43" s="13"/>
      <c r="L43" s="14" t="str">
        <f aca="false">IF(K43="","",IFERROR(K43/H43-1,""))</f>
        <v/>
      </c>
      <c r="M43" s="15" t="n">
        <v>39</v>
      </c>
    </row>
    <row r="44" customFormat="false" ht="15" hidden="false" customHeight="false" outlineLevel="0" collapsed="false">
      <c r="A44" s="6" t="s">
        <v>16</v>
      </c>
      <c r="B44" s="6" t="s">
        <v>64</v>
      </c>
      <c r="C44" s="7" t="n">
        <v>90</v>
      </c>
      <c r="D44" s="8" t="n">
        <v>500000</v>
      </c>
      <c r="E44" s="9" t="s">
        <v>18</v>
      </c>
      <c r="F44" s="7" t="n">
        <v>90</v>
      </c>
      <c r="G44" s="10" t="n">
        <v>600000</v>
      </c>
      <c r="H44" s="11" t="n">
        <v>600000</v>
      </c>
      <c r="I44" s="10" t="n">
        <v>800000</v>
      </c>
      <c r="J44" s="12" t="n">
        <f aca="false">IFERROR(D44/H44-1,"")</f>
        <v>-0.166666666666667</v>
      </c>
      <c r="K44" s="13"/>
      <c r="L44" s="14" t="str">
        <f aca="false">IF(K44="","",IFERROR(K44/H44-1,""))</f>
        <v/>
      </c>
      <c r="M44" s="15" t="n">
        <v>38</v>
      </c>
    </row>
    <row r="45" customFormat="false" ht="15" hidden="false" customHeight="false" outlineLevel="0" collapsed="false">
      <c r="A45" s="6" t="s">
        <v>16</v>
      </c>
      <c r="B45" s="6" t="s">
        <v>65</v>
      </c>
      <c r="C45" s="7" t="n">
        <v>120</v>
      </c>
      <c r="D45" s="16" t="n">
        <v>850000</v>
      </c>
      <c r="E45" s="9" t="s">
        <v>18</v>
      </c>
      <c r="F45" s="7" t="n">
        <v>120</v>
      </c>
      <c r="G45" s="10" t="n">
        <v>700000</v>
      </c>
      <c r="H45" s="17" t="n">
        <v>700000</v>
      </c>
      <c r="I45" s="10" t="n">
        <v>1000000</v>
      </c>
      <c r="J45" s="18" t="n">
        <f aca="false">IFERROR(D45/H45-1,"")</f>
        <v>0.214285714285714</v>
      </c>
      <c r="K45" s="13"/>
      <c r="L45" s="14" t="str">
        <f aca="false">IF(K45="","",IFERROR(K45/H45-1,""))</f>
        <v/>
      </c>
      <c r="M45" s="15" t="n">
        <v>38</v>
      </c>
    </row>
    <row r="46" customFormat="false" ht="15" hidden="false" customHeight="false" outlineLevel="0" collapsed="false">
      <c r="A46" s="6" t="s">
        <v>16</v>
      </c>
      <c r="B46" s="6" t="s">
        <v>66</v>
      </c>
      <c r="C46" s="7" t="n">
        <v>60</v>
      </c>
      <c r="D46" s="16" t="n">
        <v>550000</v>
      </c>
      <c r="E46" s="9" t="s">
        <v>67</v>
      </c>
      <c r="F46" s="7" t="n">
        <v>60</v>
      </c>
      <c r="G46" s="10" t="n">
        <v>500000</v>
      </c>
      <c r="H46" s="17" t="n">
        <v>500000</v>
      </c>
      <c r="I46" s="10" t="n">
        <v>700000</v>
      </c>
      <c r="J46" s="18" t="n">
        <f aca="false">IFERROR(D46/H46-1,"")</f>
        <v>0.1</v>
      </c>
      <c r="K46" s="13"/>
      <c r="L46" s="14" t="str">
        <f aca="false">IF(K46="","",IFERROR(K46/H46-1,""))</f>
        <v/>
      </c>
      <c r="M46" s="15" t="n">
        <v>17</v>
      </c>
    </row>
    <row r="47" customFormat="false" ht="15" hidden="false" customHeight="false" outlineLevel="0" collapsed="false">
      <c r="A47" s="6" t="s">
        <v>16</v>
      </c>
      <c r="B47" s="6" t="s">
        <v>68</v>
      </c>
      <c r="C47" s="7" t="n">
        <v>90</v>
      </c>
      <c r="D47" s="16" t="n">
        <v>750000</v>
      </c>
      <c r="E47" s="9" t="s">
        <v>67</v>
      </c>
      <c r="F47" s="7" t="n">
        <v>90</v>
      </c>
      <c r="G47" s="10" t="n">
        <v>600000</v>
      </c>
      <c r="H47" s="17" t="n">
        <v>600000</v>
      </c>
      <c r="I47" s="10" t="n">
        <v>800000</v>
      </c>
      <c r="J47" s="18" t="n">
        <f aca="false">IFERROR(D47/H47-1,"")</f>
        <v>0.25</v>
      </c>
      <c r="K47" s="13"/>
      <c r="L47" s="14" t="str">
        <f aca="false">IF(K47="","",IFERROR(K47/H47-1,""))</f>
        <v/>
      </c>
      <c r="M47" s="15" t="n">
        <v>17</v>
      </c>
    </row>
    <row r="48" customFormat="false" ht="15" hidden="false" customHeight="false" outlineLevel="0" collapsed="false">
      <c r="A48" s="6" t="s">
        <v>16</v>
      </c>
      <c r="B48" s="6" t="s">
        <v>69</v>
      </c>
      <c r="C48" s="7" t="n">
        <v>120</v>
      </c>
      <c r="D48" s="16" t="n">
        <v>950000</v>
      </c>
      <c r="E48" s="9" t="s">
        <v>67</v>
      </c>
      <c r="F48" s="7" t="n">
        <v>120</v>
      </c>
      <c r="G48" s="10" t="n">
        <v>700000</v>
      </c>
      <c r="H48" s="17" t="n">
        <v>700000</v>
      </c>
      <c r="I48" s="10" t="n">
        <v>1000000</v>
      </c>
      <c r="J48" s="18" t="n">
        <f aca="false">IFERROR(D48/H48-1,"")</f>
        <v>0.357142857142857</v>
      </c>
      <c r="K48" s="13"/>
      <c r="L48" s="14" t="str">
        <f aca="false">IF(K48="","",IFERROR(K48/H48-1,""))</f>
        <v/>
      </c>
      <c r="M48" s="15" t="n">
        <v>17</v>
      </c>
    </row>
    <row r="49" customFormat="false" ht="15" hidden="false" customHeight="false" outlineLevel="0" collapsed="false">
      <c r="A49" s="6" t="s">
        <v>16</v>
      </c>
      <c r="B49" s="6" t="s">
        <v>70</v>
      </c>
      <c r="C49" s="7" t="n">
        <v>60</v>
      </c>
      <c r="D49" s="8" t="n">
        <v>350000</v>
      </c>
      <c r="E49" s="9" t="s">
        <v>26</v>
      </c>
      <c r="F49" s="7" t="n">
        <v>60</v>
      </c>
      <c r="G49" s="10" t="n">
        <v>500000</v>
      </c>
      <c r="H49" s="11" t="n">
        <v>500000</v>
      </c>
      <c r="I49" s="10" t="n">
        <v>500000</v>
      </c>
      <c r="J49" s="12" t="n">
        <f aca="false">IFERROR(D49/H49-1,"")</f>
        <v>-0.3</v>
      </c>
      <c r="K49" s="13"/>
      <c r="L49" s="14" t="str">
        <f aca="false">IF(K49="","",IFERROR(K49/H49-1,""))</f>
        <v/>
      </c>
      <c r="M49" s="15" t="n">
        <v>6</v>
      </c>
    </row>
    <row r="50" customFormat="false" ht="15" hidden="false" customHeight="false" outlineLevel="0" collapsed="false">
      <c r="A50" s="6" t="s">
        <v>16</v>
      </c>
      <c r="B50" s="6" t="s">
        <v>71</v>
      </c>
      <c r="C50" s="7" t="n">
        <v>90</v>
      </c>
      <c r="D50" s="8" t="n">
        <v>500000</v>
      </c>
      <c r="E50" s="9" t="s">
        <v>26</v>
      </c>
      <c r="F50" s="7" t="n">
        <v>90</v>
      </c>
      <c r="G50" s="10" t="n">
        <v>600000</v>
      </c>
      <c r="H50" s="11" t="n">
        <v>600000</v>
      </c>
      <c r="I50" s="10" t="n">
        <v>600000</v>
      </c>
      <c r="J50" s="12" t="n">
        <f aca="false">IFERROR(D50/H50-1,"")</f>
        <v>-0.166666666666667</v>
      </c>
      <c r="K50" s="13"/>
      <c r="L50" s="14" t="str">
        <f aca="false">IF(K50="","",IFERROR(K50/H50-1,""))</f>
        <v/>
      </c>
      <c r="M50" s="15" t="n">
        <v>6</v>
      </c>
    </row>
    <row r="51" customFormat="false" ht="15" hidden="false" customHeight="false" outlineLevel="0" collapsed="false">
      <c r="A51" s="6" t="s">
        <v>16</v>
      </c>
      <c r="B51" s="6" t="s">
        <v>72</v>
      </c>
      <c r="C51" s="7" t="n">
        <v>120</v>
      </c>
      <c r="D51" s="16" t="n">
        <v>850000</v>
      </c>
      <c r="E51" s="9" t="s">
        <v>26</v>
      </c>
      <c r="F51" s="7" t="n">
        <v>120</v>
      </c>
      <c r="G51" s="10" t="n">
        <v>700000</v>
      </c>
      <c r="H51" s="17" t="n">
        <v>700000</v>
      </c>
      <c r="I51" s="10" t="n">
        <v>700000</v>
      </c>
      <c r="J51" s="18" t="n">
        <f aca="false">IFERROR(D51/H51-1,"")</f>
        <v>0.214285714285714</v>
      </c>
      <c r="K51" s="13"/>
      <c r="L51" s="14" t="str">
        <f aca="false">IF(K51="","",IFERROR(K51/H51-1,""))</f>
        <v/>
      </c>
      <c r="M51" s="15" t="n">
        <v>6</v>
      </c>
    </row>
    <row r="52" customFormat="false" ht="15" hidden="false" customHeight="false" outlineLevel="0" collapsed="false">
      <c r="A52" s="6" t="s">
        <v>73</v>
      </c>
      <c r="B52" s="6" t="s">
        <v>74</v>
      </c>
      <c r="C52" s="7" t="n">
        <v>30</v>
      </c>
      <c r="D52" s="10" t="n">
        <v>350000</v>
      </c>
      <c r="E52" s="21" t="s">
        <v>75</v>
      </c>
      <c r="F52" s="22"/>
      <c r="G52" s="23"/>
      <c r="H52" s="23"/>
      <c r="I52" s="23"/>
      <c r="J52" s="24"/>
      <c r="K52" s="13"/>
      <c r="L52" s="24"/>
      <c r="M52" s="22"/>
    </row>
    <row r="53" customFormat="false" ht="15" hidden="false" customHeight="false" outlineLevel="0" collapsed="false">
      <c r="A53" s="6" t="s">
        <v>73</v>
      </c>
      <c r="B53" s="6" t="s">
        <v>76</v>
      </c>
      <c r="C53" s="7" t="n">
        <v>45</v>
      </c>
      <c r="D53" s="10" t="n">
        <v>350000</v>
      </c>
      <c r="E53" s="21" t="s">
        <v>75</v>
      </c>
      <c r="F53" s="22"/>
      <c r="G53" s="23"/>
      <c r="H53" s="23"/>
      <c r="I53" s="23"/>
      <c r="J53" s="24"/>
      <c r="K53" s="13"/>
      <c r="L53" s="24"/>
      <c r="M53" s="22"/>
    </row>
    <row r="54" customFormat="false" ht="15" hidden="false" customHeight="false" outlineLevel="0" collapsed="false">
      <c r="A54" s="6" t="s">
        <v>73</v>
      </c>
      <c r="B54" s="6" t="s">
        <v>77</v>
      </c>
      <c r="C54" s="7" t="n">
        <v>30</v>
      </c>
      <c r="D54" s="8" t="n">
        <v>250000</v>
      </c>
      <c r="E54" s="9" t="s">
        <v>78</v>
      </c>
      <c r="F54" s="25" t="n">
        <v>60</v>
      </c>
      <c r="G54" s="10" t="n">
        <v>450000</v>
      </c>
      <c r="H54" s="11" t="n">
        <v>450000</v>
      </c>
      <c r="I54" s="10" t="n">
        <v>450000</v>
      </c>
      <c r="J54" s="12" t="n">
        <f aca="false">IFERROR(D54/H54-1,"")</f>
        <v>-0.444444444444444</v>
      </c>
      <c r="K54" s="13"/>
      <c r="L54" s="14" t="str">
        <f aca="false">IF(K54="","",IFERROR(K54/H54-1,""))</f>
        <v/>
      </c>
      <c r="M54" s="15" t="n">
        <v>2</v>
      </c>
    </row>
    <row r="55" customFormat="false" ht="15" hidden="false" customHeight="false" outlineLevel="0" collapsed="false">
      <c r="A55" s="6" t="s">
        <v>73</v>
      </c>
      <c r="B55" s="6" t="s">
        <v>79</v>
      </c>
      <c r="C55" s="7" t="n">
        <v>30</v>
      </c>
      <c r="D55" s="8" t="n">
        <v>200000</v>
      </c>
      <c r="E55" s="9" t="s">
        <v>80</v>
      </c>
      <c r="F55" s="25" t="n">
        <v>40</v>
      </c>
      <c r="G55" s="10" t="n">
        <v>400000</v>
      </c>
      <c r="H55" s="11" t="n">
        <v>400000</v>
      </c>
      <c r="I55" s="10" t="n">
        <v>500000</v>
      </c>
      <c r="J55" s="12" t="n">
        <f aca="false">IFERROR(D55/H55-1,"")</f>
        <v>-0.5</v>
      </c>
      <c r="K55" s="13"/>
      <c r="L55" s="14" t="str">
        <f aca="false">IF(K55="","",IFERROR(K55/H55-1,""))</f>
        <v/>
      </c>
      <c r="M55" s="15" t="n">
        <v>10</v>
      </c>
    </row>
    <row r="56" customFormat="false" ht="15" hidden="false" customHeight="false" outlineLevel="0" collapsed="false">
      <c r="A56" s="6" t="s">
        <v>73</v>
      </c>
      <c r="B56" s="6" t="s">
        <v>81</v>
      </c>
      <c r="C56" s="7" t="n">
        <v>60</v>
      </c>
      <c r="D56" s="10" t="n">
        <v>400000</v>
      </c>
      <c r="E56" s="21" t="s">
        <v>75</v>
      </c>
      <c r="F56" s="22"/>
      <c r="G56" s="23"/>
      <c r="H56" s="23"/>
      <c r="I56" s="23"/>
      <c r="J56" s="24"/>
      <c r="K56" s="13"/>
      <c r="L56" s="24"/>
      <c r="M56" s="22"/>
    </row>
    <row r="57" customFormat="false" ht="15" hidden="false" customHeight="false" outlineLevel="0" collapsed="false">
      <c r="A57" s="6" t="s">
        <v>73</v>
      </c>
      <c r="B57" s="6" t="s">
        <v>82</v>
      </c>
      <c r="C57" s="7" t="n">
        <v>90</v>
      </c>
      <c r="D57" s="10" t="n">
        <v>550000</v>
      </c>
      <c r="E57" s="21" t="s">
        <v>75</v>
      </c>
      <c r="F57" s="22"/>
      <c r="G57" s="23"/>
      <c r="H57" s="23"/>
      <c r="I57" s="23"/>
      <c r="J57" s="24"/>
      <c r="K57" s="13"/>
      <c r="L57" s="24"/>
      <c r="M57" s="22"/>
    </row>
    <row r="58" customFormat="false" ht="15" hidden="false" customHeight="false" outlineLevel="0" collapsed="false">
      <c r="A58" s="6" t="s">
        <v>73</v>
      </c>
      <c r="B58" s="6" t="s">
        <v>83</v>
      </c>
      <c r="C58" s="7" t="n">
        <v>60</v>
      </c>
      <c r="D58" s="10" t="n">
        <v>550000</v>
      </c>
      <c r="E58" s="21" t="s">
        <v>75</v>
      </c>
      <c r="F58" s="22"/>
      <c r="G58" s="23"/>
      <c r="H58" s="23"/>
      <c r="I58" s="23"/>
      <c r="J58" s="24"/>
      <c r="K58" s="13"/>
      <c r="L58" s="24"/>
      <c r="M58" s="22"/>
    </row>
    <row r="59" customFormat="false" ht="15" hidden="false" customHeight="false" outlineLevel="0" collapsed="false">
      <c r="A59" s="6" t="s">
        <v>73</v>
      </c>
      <c r="B59" s="6" t="s">
        <v>84</v>
      </c>
      <c r="C59" s="7" t="n">
        <v>30</v>
      </c>
      <c r="D59" s="10" t="n">
        <v>300000</v>
      </c>
      <c r="E59" s="21" t="s">
        <v>75</v>
      </c>
      <c r="F59" s="22"/>
      <c r="G59" s="23"/>
      <c r="H59" s="23"/>
      <c r="I59" s="23"/>
      <c r="J59" s="24"/>
      <c r="K59" s="13"/>
      <c r="L59" s="24"/>
      <c r="M59" s="22"/>
    </row>
    <row r="60" customFormat="false" ht="15" hidden="false" customHeight="false" outlineLevel="0" collapsed="false">
      <c r="A60" s="6" t="s">
        <v>73</v>
      </c>
      <c r="B60" s="6" t="s">
        <v>85</v>
      </c>
      <c r="C60" s="7" t="n">
        <v>45</v>
      </c>
      <c r="D60" s="8" t="n">
        <v>500000</v>
      </c>
      <c r="E60" s="9" t="s">
        <v>86</v>
      </c>
      <c r="F60" s="25" t="n">
        <v>60</v>
      </c>
      <c r="G60" s="10" t="n">
        <v>600000</v>
      </c>
      <c r="H60" s="11" t="n">
        <v>600000</v>
      </c>
      <c r="I60" s="10" t="n">
        <v>700000</v>
      </c>
      <c r="J60" s="12" t="n">
        <f aca="false">IFERROR(D60/H60-1,"")</f>
        <v>-0.166666666666667</v>
      </c>
      <c r="K60" s="13"/>
      <c r="L60" s="14" t="str">
        <f aca="false">IF(K60="","",IFERROR(K60/H60-1,""))</f>
        <v/>
      </c>
      <c r="M60" s="15" t="n">
        <v>5</v>
      </c>
    </row>
    <row r="61" customFormat="false" ht="15" hidden="false" customHeight="false" outlineLevel="0" collapsed="false">
      <c r="A61" s="6" t="s">
        <v>73</v>
      </c>
      <c r="B61" s="6" t="s">
        <v>87</v>
      </c>
      <c r="C61" s="7" t="n">
        <v>60</v>
      </c>
      <c r="D61" s="10" t="n">
        <v>500000</v>
      </c>
      <c r="E61" s="21" t="s">
        <v>75</v>
      </c>
      <c r="F61" s="22"/>
      <c r="G61" s="23"/>
      <c r="H61" s="23"/>
      <c r="I61" s="23"/>
      <c r="J61" s="24"/>
      <c r="K61" s="13"/>
      <c r="L61" s="24"/>
      <c r="M61" s="22"/>
    </row>
    <row r="62" customFormat="false" ht="15" hidden="false" customHeight="false" outlineLevel="0" collapsed="false">
      <c r="A62" s="6" t="s">
        <v>73</v>
      </c>
      <c r="B62" s="6" t="s">
        <v>88</v>
      </c>
      <c r="C62" s="7" t="n">
        <v>60</v>
      </c>
      <c r="D62" s="10" t="n">
        <v>380000</v>
      </c>
      <c r="E62" s="21" t="s">
        <v>75</v>
      </c>
      <c r="F62" s="22"/>
      <c r="G62" s="23"/>
      <c r="H62" s="23"/>
      <c r="I62" s="23"/>
      <c r="J62" s="24"/>
      <c r="K62" s="13"/>
      <c r="L62" s="24"/>
      <c r="M62" s="22"/>
    </row>
    <row r="63" customFormat="false" ht="15" hidden="false" customHeight="false" outlineLevel="0" collapsed="false">
      <c r="A63" s="6" t="s">
        <v>73</v>
      </c>
      <c r="B63" s="6" t="s">
        <v>89</v>
      </c>
      <c r="C63" s="7" t="n">
        <v>60</v>
      </c>
      <c r="D63" s="10" t="n">
        <v>400000</v>
      </c>
      <c r="E63" s="21" t="s">
        <v>75</v>
      </c>
      <c r="F63" s="22"/>
      <c r="G63" s="23"/>
      <c r="H63" s="23"/>
      <c r="I63" s="23"/>
      <c r="J63" s="24"/>
      <c r="K63" s="13"/>
      <c r="L63" s="24"/>
      <c r="M63" s="22"/>
    </row>
    <row r="64" customFormat="false" ht="15" hidden="false" customHeight="false" outlineLevel="0" collapsed="false">
      <c r="A64" s="6" t="s">
        <v>73</v>
      </c>
      <c r="B64" s="6" t="s">
        <v>90</v>
      </c>
      <c r="C64" s="7" t="n">
        <v>45</v>
      </c>
      <c r="D64" s="10" t="n">
        <v>400000</v>
      </c>
      <c r="E64" s="21" t="s">
        <v>75</v>
      </c>
      <c r="F64" s="22"/>
      <c r="G64" s="23"/>
      <c r="H64" s="23"/>
      <c r="I64" s="23"/>
      <c r="J64" s="24"/>
      <c r="K64" s="13"/>
      <c r="L64" s="24"/>
      <c r="M64" s="22"/>
    </row>
    <row r="65" customFormat="false" ht="15" hidden="false" customHeight="false" outlineLevel="0" collapsed="false">
      <c r="A65" s="6" t="s">
        <v>73</v>
      </c>
      <c r="B65" s="6" t="s">
        <v>91</v>
      </c>
      <c r="C65" s="7" t="n">
        <v>60</v>
      </c>
      <c r="D65" s="8" t="n">
        <v>500000</v>
      </c>
      <c r="E65" s="9" t="s">
        <v>92</v>
      </c>
      <c r="F65" s="7" t="n">
        <v>60</v>
      </c>
      <c r="G65" s="10" t="n">
        <v>600000</v>
      </c>
      <c r="H65" s="11" t="n">
        <v>600000</v>
      </c>
      <c r="I65" s="10" t="n">
        <v>700000</v>
      </c>
      <c r="J65" s="12" t="n">
        <f aca="false">IFERROR(D65/H65-1,"")</f>
        <v>-0.166666666666667</v>
      </c>
      <c r="K65" s="13"/>
      <c r="L65" s="14" t="str">
        <f aca="false">IF(K65="","",IFERROR(K65/H65-1,""))</f>
        <v/>
      </c>
      <c r="M65" s="15" t="n">
        <v>16</v>
      </c>
    </row>
    <row r="67" customFormat="false" ht="15" hidden="false" customHeight="false" outlineLevel="0" collapsed="false">
      <c r="B67" s="26" t="s">
        <v>93</v>
      </c>
      <c r="J67" s="27" t="n">
        <f aca="false">IFERROR(AVERAGE(J6:J65),"")</f>
        <v>0.00130158730158729</v>
      </c>
    </row>
    <row r="68" customFormat="false" ht="15" hidden="false" customHeight="false" outlineLevel="0" collapsed="false">
      <c r="B68" s="28" t="s">
        <v>94</v>
      </c>
      <c r="D68" s="28" t="n">
        <f aca="false">COUNTIF(E6:E65,"대응 없음")</f>
        <v>10</v>
      </c>
    </row>
  </sheetData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8" min="3" style="0" width="12"/>
    <col collapsed="false" customWidth="true" hidden="false" outlineLevel="0" max="10" min="9" style="0" width="11"/>
  </cols>
  <sheetData>
    <row r="1" customFormat="false" ht="23.1" hidden="false" customHeight="false" outlineLevel="0" collapsed="false">
      <c r="A1" s="1" t="s">
        <v>95</v>
      </c>
    </row>
    <row r="2" customFormat="false" ht="14.15" hidden="false" customHeight="false" outlineLevel="0" collapsed="false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3.75" hidden="false" customHeight="true" outlineLevel="0" collapsed="false">
      <c r="A4" s="4" t="s">
        <v>3</v>
      </c>
      <c r="B4" s="5" t="s">
        <v>4</v>
      </c>
      <c r="C4" s="5" t="s">
        <v>97</v>
      </c>
      <c r="D4" s="5" t="s">
        <v>98</v>
      </c>
      <c r="E4" s="5" t="s">
        <v>99</v>
      </c>
      <c r="F4" s="5" t="s">
        <v>100</v>
      </c>
      <c r="G4" s="5" t="s">
        <v>101</v>
      </c>
      <c r="H4" s="5" t="s">
        <v>102</v>
      </c>
      <c r="I4" s="5" t="s">
        <v>103</v>
      </c>
      <c r="J4" s="5" t="s">
        <v>104</v>
      </c>
    </row>
    <row r="5" customFormat="false" ht="15" hidden="false" customHeight="false" outlineLevel="0" collapsed="false">
      <c r="A5" s="6" t="s">
        <v>16</v>
      </c>
      <c r="B5" s="6" t="s">
        <v>105</v>
      </c>
      <c r="C5" s="10" t="n">
        <v>350000</v>
      </c>
      <c r="D5" s="10" t="n">
        <v>500000</v>
      </c>
      <c r="E5" s="10" t="n">
        <v>850000</v>
      </c>
      <c r="F5" s="29" t="n">
        <v>500000</v>
      </c>
      <c r="G5" s="29" t="n">
        <v>600000</v>
      </c>
      <c r="H5" s="29" t="n">
        <v>700000</v>
      </c>
      <c r="I5" s="20" t="n">
        <f aca="false">IF(OR(C5="",F5=""),"",C5/F5-1)</f>
        <v>-0.3</v>
      </c>
      <c r="J5" s="20" t="n">
        <f aca="false">IF(OR(E5="",H5=""),"",E5/H5-1)</f>
        <v>0.214285714285714</v>
      </c>
    </row>
    <row r="6" customFormat="false" ht="15" hidden="false" customHeight="false" outlineLevel="0" collapsed="false">
      <c r="A6" s="6" t="s">
        <v>16</v>
      </c>
      <c r="B6" s="6" t="s">
        <v>106</v>
      </c>
      <c r="C6" s="10" t="n">
        <v>400000</v>
      </c>
      <c r="D6" s="10" t="n">
        <v>650000</v>
      </c>
      <c r="E6" s="10" t="n">
        <v>850000</v>
      </c>
      <c r="F6" s="29" t="n">
        <v>500000</v>
      </c>
      <c r="G6" s="29" t="n">
        <v>600000</v>
      </c>
      <c r="H6" s="29" t="n">
        <v>700000</v>
      </c>
      <c r="I6" s="20" t="n">
        <f aca="false">IF(OR(C6="",F6=""),"",C6/F6-1)</f>
        <v>-0.2</v>
      </c>
      <c r="J6" s="20" t="n">
        <f aca="false">IF(OR(E6="",H6=""),"",E6/H6-1)</f>
        <v>0.214285714285714</v>
      </c>
    </row>
    <row r="7" customFormat="false" ht="15" hidden="false" customHeight="false" outlineLevel="0" collapsed="false">
      <c r="A7" s="6" t="s">
        <v>16</v>
      </c>
      <c r="B7" s="6" t="s">
        <v>107</v>
      </c>
      <c r="C7" s="10" t="n">
        <v>350000</v>
      </c>
      <c r="D7" s="10" t="n">
        <v>500000</v>
      </c>
      <c r="E7" s="10" t="n">
        <v>850000</v>
      </c>
      <c r="F7" s="29" t="n">
        <v>500000</v>
      </c>
      <c r="G7" s="29" t="n">
        <v>600000</v>
      </c>
      <c r="H7" s="29" t="n">
        <v>700000</v>
      </c>
      <c r="I7" s="20" t="n">
        <f aca="false">IF(OR(C7="",F7=""),"",C7/F7-1)</f>
        <v>-0.3</v>
      </c>
      <c r="J7" s="20" t="n">
        <f aca="false">IF(OR(E7="",H7=""),"",E7/H7-1)</f>
        <v>0.214285714285714</v>
      </c>
    </row>
    <row r="8" customFormat="false" ht="15" hidden="false" customHeight="false" outlineLevel="0" collapsed="false">
      <c r="A8" s="6" t="s">
        <v>16</v>
      </c>
      <c r="B8" s="6" t="s">
        <v>108</v>
      </c>
      <c r="C8" s="10" t="n">
        <v>400000</v>
      </c>
      <c r="D8" s="10" t="n">
        <v>650000</v>
      </c>
      <c r="E8" s="10" t="n">
        <v>850000</v>
      </c>
      <c r="F8" s="29" t="n">
        <v>500000</v>
      </c>
      <c r="G8" s="29" t="n">
        <v>600000</v>
      </c>
      <c r="H8" s="29" t="n">
        <v>700000</v>
      </c>
      <c r="I8" s="20" t="n">
        <f aca="false">IF(OR(C8="",F8=""),"",C8/F8-1)</f>
        <v>-0.2</v>
      </c>
      <c r="J8" s="20" t="n">
        <f aca="false">IF(OR(E8="",H8=""),"",E8/H8-1)</f>
        <v>0.214285714285714</v>
      </c>
    </row>
    <row r="9" customFormat="false" ht="15" hidden="false" customHeight="false" outlineLevel="0" collapsed="false">
      <c r="A9" s="6" t="s">
        <v>16</v>
      </c>
      <c r="B9" s="6" t="s">
        <v>109</v>
      </c>
      <c r="C9" s="10" t="n">
        <v>450000</v>
      </c>
      <c r="D9" s="10" t="n">
        <v>650000</v>
      </c>
      <c r="E9" s="10"/>
      <c r="F9" s="29" t="n">
        <v>500000</v>
      </c>
      <c r="G9" s="29" t="n">
        <v>600000</v>
      </c>
      <c r="H9" s="29" t="n">
        <v>700000</v>
      </c>
      <c r="I9" s="20" t="n">
        <f aca="false">IF(OR(C9="",F9=""),"",C9/F9-1)</f>
        <v>-0.1</v>
      </c>
      <c r="J9" s="20" t="str">
        <f aca="false">IF(OR(E9="",H9=""),"",E9/H9-1)</f>
        <v/>
      </c>
    </row>
    <row r="10" customFormat="false" ht="15" hidden="false" customHeight="false" outlineLevel="0" collapsed="false">
      <c r="A10" s="6" t="s">
        <v>16</v>
      </c>
      <c r="B10" s="6" t="s">
        <v>110</v>
      </c>
      <c r="C10" s="10" t="n">
        <v>500000</v>
      </c>
      <c r="D10" s="10" t="n">
        <v>700000</v>
      </c>
      <c r="E10" s="10" t="n">
        <v>850000</v>
      </c>
      <c r="F10" s="29" t="n">
        <v>500000</v>
      </c>
      <c r="G10" s="29" t="n">
        <v>600000</v>
      </c>
      <c r="H10" s="29" t="n">
        <v>700000</v>
      </c>
      <c r="I10" s="20" t="n">
        <f aca="false">IF(OR(C10="",F10=""),"",C10/F10-1)</f>
        <v>0</v>
      </c>
      <c r="J10" s="20" t="n">
        <f aca="false">IF(OR(E10="",H10=""),"",E10/H10-1)</f>
        <v>0.214285714285714</v>
      </c>
    </row>
    <row r="11" customFormat="false" ht="15" hidden="false" customHeight="false" outlineLevel="0" collapsed="false">
      <c r="A11" s="6" t="s">
        <v>16</v>
      </c>
      <c r="B11" s="6" t="s">
        <v>111</v>
      </c>
      <c r="C11" s="10" t="n">
        <v>450000</v>
      </c>
      <c r="D11" s="10" t="n">
        <v>650000</v>
      </c>
      <c r="E11" s="10" t="n">
        <v>850000</v>
      </c>
      <c r="F11" s="29" t="n">
        <v>500000</v>
      </c>
      <c r="G11" s="29" t="n">
        <v>600000</v>
      </c>
      <c r="H11" s="29" t="n">
        <v>700000</v>
      </c>
      <c r="I11" s="20" t="n">
        <f aca="false">IF(OR(C11="",F11=""),"",C11/F11-1)</f>
        <v>-0.1</v>
      </c>
      <c r="J11" s="20" t="n">
        <f aca="false">IF(OR(E11="",H11=""),"",E11/H11-1)</f>
        <v>0.214285714285714</v>
      </c>
    </row>
    <row r="12" customFormat="false" ht="15" hidden="false" customHeight="false" outlineLevel="0" collapsed="false">
      <c r="A12" s="6" t="s">
        <v>16</v>
      </c>
      <c r="B12" s="6" t="s">
        <v>112</v>
      </c>
      <c r="C12" s="10" t="n">
        <v>550000</v>
      </c>
      <c r="D12" s="10" t="n">
        <v>750000</v>
      </c>
      <c r="E12" s="10" t="n">
        <v>950000</v>
      </c>
      <c r="F12" s="29" t="n">
        <v>500000</v>
      </c>
      <c r="G12" s="29" t="n">
        <v>600000</v>
      </c>
      <c r="H12" s="29" t="n">
        <v>700000</v>
      </c>
      <c r="I12" s="20" t="n">
        <f aca="false">IF(OR(C12="",F12=""),"",C12/F12-1)</f>
        <v>0.1</v>
      </c>
      <c r="J12" s="20" t="n">
        <f aca="false">IF(OR(E12="",H12=""),"",E12/H12-1)</f>
        <v>0.357142857142857</v>
      </c>
    </row>
    <row r="13" customFormat="false" ht="15" hidden="false" customHeight="false" outlineLevel="0" collapsed="false">
      <c r="A13" s="6" t="s">
        <v>16</v>
      </c>
      <c r="B13" s="6" t="s">
        <v>113</v>
      </c>
      <c r="C13" s="10" t="n">
        <v>400000</v>
      </c>
      <c r="D13" s="10" t="n">
        <v>650000</v>
      </c>
      <c r="E13" s="10" t="n">
        <v>850000</v>
      </c>
      <c r="F13" s="29" t="n">
        <v>500000</v>
      </c>
      <c r="G13" s="29" t="n">
        <v>600000</v>
      </c>
      <c r="H13" s="29" t="n">
        <v>700000</v>
      </c>
      <c r="I13" s="20" t="n">
        <f aca="false">IF(OR(C13="",F13=""),"",C13/F13-1)</f>
        <v>-0.2</v>
      </c>
      <c r="J13" s="20" t="n">
        <f aca="false">IF(OR(E13="",H13=""),"",E13/H13-1)</f>
        <v>0.214285714285714</v>
      </c>
    </row>
    <row r="14" customFormat="false" ht="15" hidden="false" customHeight="false" outlineLevel="0" collapsed="false">
      <c r="A14" s="6" t="s">
        <v>16</v>
      </c>
      <c r="B14" s="6" t="s">
        <v>114</v>
      </c>
      <c r="C14" s="10" t="n">
        <v>500000</v>
      </c>
      <c r="D14" s="10" t="n">
        <v>700000</v>
      </c>
      <c r="E14" s="10" t="n">
        <v>850000</v>
      </c>
      <c r="F14" s="29" t="n">
        <v>500000</v>
      </c>
      <c r="G14" s="29" t="n">
        <v>600000</v>
      </c>
      <c r="H14" s="29" t="n">
        <v>700000</v>
      </c>
      <c r="I14" s="20" t="n">
        <f aca="false">IF(OR(C14="",F14=""),"",C14/F14-1)</f>
        <v>0</v>
      </c>
      <c r="J14" s="20" t="n">
        <f aca="false">IF(OR(E14="",H14=""),"",E14/H14-1)</f>
        <v>0.214285714285714</v>
      </c>
    </row>
    <row r="15" customFormat="false" ht="15" hidden="false" customHeight="false" outlineLevel="0" collapsed="false">
      <c r="A15" s="6" t="s">
        <v>16</v>
      </c>
      <c r="B15" s="6" t="s">
        <v>115</v>
      </c>
      <c r="C15" s="10" t="n">
        <v>450000</v>
      </c>
      <c r="D15" s="10" t="n">
        <v>650000</v>
      </c>
      <c r="E15" s="10" t="n">
        <v>850000</v>
      </c>
      <c r="F15" s="29" t="n">
        <v>500000</v>
      </c>
      <c r="G15" s="29" t="n">
        <v>600000</v>
      </c>
      <c r="H15" s="29" t="n">
        <v>700000</v>
      </c>
      <c r="I15" s="20" t="n">
        <f aca="false">IF(OR(C15="",F15=""),"",C15/F15-1)</f>
        <v>-0.1</v>
      </c>
      <c r="J15" s="20" t="n">
        <f aca="false">IF(OR(E15="",H15=""),"",E15/H15-1)</f>
        <v>0.214285714285714</v>
      </c>
    </row>
    <row r="16" customFormat="false" ht="15" hidden="false" customHeight="false" outlineLevel="0" collapsed="false">
      <c r="A16" s="6" t="s">
        <v>16</v>
      </c>
      <c r="B16" s="6" t="s">
        <v>116</v>
      </c>
      <c r="C16" s="10" t="n">
        <v>400000</v>
      </c>
      <c r="D16" s="10" t="n">
        <v>550000</v>
      </c>
      <c r="E16" s="10"/>
      <c r="F16" s="29" t="n">
        <v>500000</v>
      </c>
      <c r="G16" s="29" t="n">
        <v>600000</v>
      </c>
      <c r="H16" s="29" t="n">
        <v>700000</v>
      </c>
      <c r="I16" s="20" t="n">
        <f aca="false">IF(OR(C16="",F16=""),"",C16/F16-1)</f>
        <v>-0.2</v>
      </c>
      <c r="J16" s="20" t="str">
        <f aca="false">IF(OR(E16="",H16=""),"",E16/H16-1)</f>
        <v/>
      </c>
    </row>
    <row r="17" customFormat="false" ht="15" hidden="false" customHeight="false" outlineLevel="0" collapsed="false">
      <c r="A17" s="6" t="s">
        <v>16</v>
      </c>
      <c r="B17" s="6" t="s">
        <v>117</v>
      </c>
      <c r="C17" s="10" t="n">
        <v>400000</v>
      </c>
      <c r="D17" s="10" t="n">
        <v>550000</v>
      </c>
      <c r="E17" s="10" t="n">
        <v>750000</v>
      </c>
      <c r="F17" s="29" t="n">
        <v>500000</v>
      </c>
      <c r="G17" s="29" t="n">
        <v>600000</v>
      </c>
      <c r="H17" s="29" t="n">
        <v>700000</v>
      </c>
      <c r="I17" s="20" t="n">
        <f aca="false">IF(OR(C17="",F17=""),"",C17/F17-1)</f>
        <v>-0.2</v>
      </c>
      <c r="J17" s="20" t="n">
        <f aca="false">IF(OR(E17="",H17=""),"",E17/H17-1)</f>
        <v>0.0714285714285714</v>
      </c>
    </row>
    <row r="18" customFormat="false" ht="15" hidden="false" customHeight="false" outlineLevel="0" collapsed="false">
      <c r="A18" s="6" t="s">
        <v>16</v>
      </c>
      <c r="B18" s="6" t="s">
        <v>118</v>
      </c>
      <c r="C18" s="10" t="n">
        <v>350000</v>
      </c>
      <c r="D18" s="10" t="n">
        <v>500000</v>
      </c>
      <c r="E18" s="10" t="n">
        <v>850000</v>
      </c>
      <c r="F18" s="29" t="n">
        <v>500000</v>
      </c>
      <c r="G18" s="29" t="n">
        <v>600000</v>
      </c>
      <c r="H18" s="29" t="n">
        <v>700000</v>
      </c>
      <c r="I18" s="20" t="n">
        <f aca="false">IF(OR(C18="",F18=""),"",C18/F18-1)</f>
        <v>-0.3</v>
      </c>
      <c r="J18" s="20" t="n">
        <f aca="false">IF(OR(E18="",H18=""),"",E18/H18-1)</f>
        <v>0.214285714285714</v>
      </c>
    </row>
    <row r="19" customFormat="false" ht="15" hidden="false" customHeight="false" outlineLevel="0" collapsed="false">
      <c r="A19" s="6" t="s">
        <v>16</v>
      </c>
      <c r="B19" s="6" t="s">
        <v>119</v>
      </c>
      <c r="C19" s="10" t="n">
        <v>550000</v>
      </c>
      <c r="D19" s="10" t="n">
        <v>750000</v>
      </c>
      <c r="E19" s="10" t="n">
        <v>950000</v>
      </c>
      <c r="F19" s="29" t="n">
        <v>500000</v>
      </c>
      <c r="G19" s="29" t="n">
        <v>600000</v>
      </c>
      <c r="H19" s="29" t="n">
        <v>700000</v>
      </c>
      <c r="I19" s="20" t="n">
        <f aca="false">IF(OR(C19="",F19=""),"",C19/F19-1)</f>
        <v>0.1</v>
      </c>
      <c r="J19" s="20" t="n">
        <f aca="false">IF(OR(E19="",H19=""),"",E19/H19-1)</f>
        <v>0.357142857142857</v>
      </c>
    </row>
    <row r="20" customFormat="false" ht="15" hidden="false" customHeight="false" outlineLevel="0" collapsed="false">
      <c r="A20" s="6" t="s">
        <v>16</v>
      </c>
      <c r="B20" s="6" t="s">
        <v>120</v>
      </c>
      <c r="C20" s="10" t="n">
        <v>350000</v>
      </c>
      <c r="D20" s="10" t="n">
        <v>500000</v>
      </c>
      <c r="E20" s="10" t="n">
        <v>850000</v>
      </c>
      <c r="F20" s="29" t="n">
        <v>500000</v>
      </c>
      <c r="G20" s="29" t="n">
        <v>600000</v>
      </c>
      <c r="H20" s="29" t="n">
        <v>700000</v>
      </c>
      <c r="I20" s="20" t="n">
        <f aca="false">IF(OR(C20="",F20=""),"",C20/F20-1)</f>
        <v>-0.3</v>
      </c>
      <c r="J20" s="20" t="n">
        <f aca="false">IF(OR(E20="",H20=""),"",E20/H20-1)</f>
        <v>0.214285714285714</v>
      </c>
    </row>
    <row r="21" customFormat="false" ht="15" hidden="false" customHeight="false" outlineLevel="0" collapsed="false">
      <c r="A21" s="6" t="s">
        <v>73</v>
      </c>
      <c r="B21" s="6" t="s">
        <v>121</v>
      </c>
      <c r="C21" s="10"/>
      <c r="D21" s="10"/>
      <c r="E21" s="10"/>
      <c r="F21" s="29"/>
      <c r="G21" s="29"/>
      <c r="H21" s="29"/>
      <c r="I21" s="20" t="str">
        <f aca="false">IF(OR(C21="",F21=""),"",C21/F21-1)</f>
        <v/>
      </c>
      <c r="J21" s="20" t="str">
        <f aca="false">IF(OR(E21="",H21=""),"",E21/H21-1)</f>
        <v/>
      </c>
    </row>
    <row r="22" customFormat="false" ht="15" hidden="false" customHeight="false" outlineLevel="0" collapsed="false">
      <c r="A22" s="6" t="s">
        <v>73</v>
      </c>
      <c r="B22" s="6" t="s">
        <v>122</v>
      </c>
      <c r="C22" s="10"/>
      <c r="D22" s="10"/>
      <c r="E22" s="10"/>
      <c r="F22" s="29"/>
      <c r="G22" s="29"/>
      <c r="H22" s="29"/>
      <c r="I22" s="20" t="str">
        <f aca="false">IF(OR(C22="",F22=""),"",C22/F22-1)</f>
        <v/>
      </c>
      <c r="J22" s="20" t="str">
        <f aca="false">IF(OR(E22="",H22=""),"",E22/H22-1)</f>
        <v/>
      </c>
    </row>
    <row r="23" customFormat="false" ht="15" hidden="false" customHeight="false" outlineLevel="0" collapsed="false">
      <c r="A23" s="6" t="s">
        <v>73</v>
      </c>
      <c r="B23" s="6" t="s">
        <v>123</v>
      </c>
      <c r="C23" s="10"/>
      <c r="D23" s="10"/>
      <c r="E23" s="10"/>
      <c r="F23" s="29"/>
      <c r="G23" s="29"/>
      <c r="H23" s="29"/>
      <c r="I23" s="20" t="str">
        <f aca="false">IF(OR(C23="",F23=""),"",C23/F23-1)</f>
        <v/>
      </c>
      <c r="J23" s="20" t="str">
        <f aca="false">IF(OR(E23="",H23=""),"",E23/H23-1)</f>
        <v/>
      </c>
    </row>
    <row r="24" customFormat="false" ht="15" hidden="false" customHeight="false" outlineLevel="0" collapsed="false">
      <c r="A24" s="6" t="s">
        <v>73</v>
      </c>
      <c r="B24" s="6" t="s">
        <v>124</v>
      </c>
      <c r="C24" s="10"/>
      <c r="D24" s="10"/>
      <c r="E24" s="10"/>
      <c r="F24" s="29"/>
      <c r="G24" s="29"/>
      <c r="H24" s="29"/>
      <c r="I24" s="20" t="str">
        <f aca="false">IF(OR(C24="",F24=""),"",C24/F24-1)</f>
        <v/>
      </c>
      <c r="J24" s="20" t="str">
        <f aca="false">IF(OR(E24="",H24=""),"",E24/H24-1)</f>
        <v/>
      </c>
    </row>
    <row r="25" customFormat="false" ht="15" hidden="false" customHeight="false" outlineLevel="0" collapsed="false">
      <c r="A25" s="6" t="s">
        <v>73</v>
      </c>
      <c r="B25" s="6" t="s">
        <v>125</v>
      </c>
      <c r="C25" s="10" t="n">
        <v>400000</v>
      </c>
      <c r="D25" s="10"/>
      <c r="E25" s="10"/>
      <c r="F25" s="29"/>
      <c r="G25" s="29"/>
      <c r="H25" s="29"/>
      <c r="I25" s="20" t="str">
        <f aca="false">IF(OR(C25="",F25=""),"",C25/F25-1)</f>
        <v/>
      </c>
      <c r="J25" s="20" t="str">
        <f aca="false">IF(OR(E25="",H25=""),"",E25/H25-1)</f>
        <v/>
      </c>
    </row>
    <row r="26" customFormat="false" ht="15" hidden="false" customHeight="false" outlineLevel="0" collapsed="false">
      <c r="A26" s="6" t="s">
        <v>73</v>
      </c>
      <c r="B26" s="6" t="s">
        <v>126</v>
      </c>
      <c r="C26" s="10"/>
      <c r="D26" s="10" t="n">
        <v>550000</v>
      </c>
      <c r="E26" s="10"/>
      <c r="F26" s="29"/>
      <c r="G26" s="29"/>
      <c r="H26" s="29"/>
      <c r="I26" s="20" t="str">
        <f aca="false">IF(OR(C26="",F26=""),"",C26/F26-1)</f>
        <v/>
      </c>
      <c r="J26" s="20" t="str">
        <f aca="false">IF(OR(E26="",H26=""),"",E26/H26-1)</f>
        <v/>
      </c>
    </row>
    <row r="27" customFormat="false" ht="15" hidden="false" customHeight="false" outlineLevel="0" collapsed="false">
      <c r="A27" s="6" t="s">
        <v>73</v>
      </c>
      <c r="B27" s="6" t="s">
        <v>127</v>
      </c>
      <c r="C27" s="10" t="n">
        <v>550000</v>
      </c>
      <c r="D27" s="10"/>
      <c r="E27" s="10"/>
      <c r="F27" s="29"/>
      <c r="G27" s="29"/>
      <c r="H27" s="29"/>
      <c r="I27" s="20" t="str">
        <f aca="false">IF(OR(C27="",F27=""),"",C27/F27-1)</f>
        <v/>
      </c>
      <c r="J27" s="20" t="str">
        <f aca="false">IF(OR(E27="",H27=""),"",E27/H27-1)</f>
        <v/>
      </c>
    </row>
    <row r="28" customFormat="false" ht="15" hidden="false" customHeight="false" outlineLevel="0" collapsed="false">
      <c r="A28" s="6" t="s">
        <v>73</v>
      </c>
      <c r="B28" s="6" t="s">
        <v>128</v>
      </c>
      <c r="C28" s="10"/>
      <c r="D28" s="10"/>
      <c r="E28" s="10"/>
      <c r="F28" s="29"/>
      <c r="G28" s="29"/>
      <c r="H28" s="29"/>
      <c r="I28" s="20" t="str">
        <f aca="false">IF(OR(C28="",F28=""),"",C28/F28-1)</f>
        <v/>
      </c>
      <c r="J28" s="20" t="str">
        <f aca="false">IF(OR(E28="",H28=""),"",E28/H28-1)</f>
        <v/>
      </c>
    </row>
    <row r="29" customFormat="false" ht="15" hidden="false" customHeight="false" outlineLevel="0" collapsed="false">
      <c r="A29" s="6" t="s">
        <v>73</v>
      </c>
      <c r="B29" s="6" t="s">
        <v>129</v>
      </c>
      <c r="C29" s="10"/>
      <c r="D29" s="10"/>
      <c r="E29" s="10"/>
      <c r="F29" s="29"/>
      <c r="G29" s="29"/>
      <c r="H29" s="29"/>
      <c r="I29" s="20" t="str">
        <f aca="false">IF(OR(C29="",F29=""),"",C29/F29-1)</f>
        <v/>
      </c>
      <c r="J29" s="20" t="str">
        <f aca="false">IF(OR(E29="",H29=""),"",E29/H29-1)</f>
        <v/>
      </c>
    </row>
    <row r="30" customFormat="false" ht="15" hidden="false" customHeight="false" outlineLevel="0" collapsed="false">
      <c r="A30" s="6" t="s">
        <v>73</v>
      </c>
      <c r="B30" s="6" t="s">
        <v>130</v>
      </c>
      <c r="C30" s="10" t="n">
        <v>500000</v>
      </c>
      <c r="D30" s="10"/>
      <c r="E30" s="10"/>
      <c r="F30" s="29"/>
      <c r="G30" s="29"/>
      <c r="H30" s="29"/>
      <c r="I30" s="20" t="str">
        <f aca="false">IF(OR(C30="",F30=""),"",C30/F30-1)</f>
        <v/>
      </c>
      <c r="J30" s="20" t="str">
        <f aca="false">IF(OR(E30="",H30=""),"",E30/H30-1)</f>
        <v/>
      </c>
    </row>
    <row r="31" customFormat="false" ht="15" hidden="false" customHeight="false" outlineLevel="0" collapsed="false">
      <c r="A31" s="6" t="s">
        <v>73</v>
      </c>
      <c r="B31" s="6" t="s">
        <v>131</v>
      </c>
      <c r="C31" s="10" t="n">
        <v>380000</v>
      </c>
      <c r="D31" s="10"/>
      <c r="E31" s="10"/>
      <c r="F31" s="29"/>
      <c r="G31" s="29"/>
      <c r="H31" s="29"/>
      <c r="I31" s="20" t="str">
        <f aca="false">IF(OR(C31="",F31=""),"",C31/F31-1)</f>
        <v/>
      </c>
      <c r="J31" s="20" t="str">
        <f aca="false">IF(OR(E31="",H31=""),"",E31/H31-1)</f>
        <v/>
      </c>
    </row>
    <row r="32" customFormat="false" ht="15" hidden="false" customHeight="false" outlineLevel="0" collapsed="false">
      <c r="A32" s="6" t="s">
        <v>73</v>
      </c>
      <c r="B32" s="6" t="s">
        <v>132</v>
      </c>
      <c r="C32" s="10" t="n">
        <v>400000</v>
      </c>
      <c r="D32" s="10"/>
      <c r="E32" s="10"/>
      <c r="F32" s="29"/>
      <c r="G32" s="29"/>
      <c r="H32" s="29"/>
      <c r="I32" s="20" t="str">
        <f aca="false">IF(OR(C32="",F32=""),"",C32/F32-1)</f>
        <v/>
      </c>
      <c r="J32" s="20" t="str">
        <f aca="false">IF(OR(E32="",H32=""),"",E32/H32-1)</f>
        <v/>
      </c>
    </row>
    <row r="33" customFormat="false" ht="15" hidden="false" customHeight="false" outlineLevel="0" collapsed="false">
      <c r="A33" s="6" t="s">
        <v>73</v>
      </c>
      <c r="B33" s="6" t="s">
        <v>133</v>
      </c>
      <c r="C33" s="10"/>
      <c r="D33" s="10"/>
      <c r="E33" s="10"/>
      <c r="F33" s="29"/>
      <c r="G33" s="29"/>
      <c r="H33" s="29"/>
      <c r="I33" s="20" t="str">
        <f aca="false">IF(OR(C33="",F33=""),"",C33/F33-1)</f>
        <v/>
      </c>
      <c r="J33" s="20" t="str">
        <f aca="false">IF(OR(E33="",H33=""),"",E33/H33-1)</f>
        <v/>
      </c>
    </row>
    <row r="34" customFormat="false" ht="15" hidden="false" customHeight="false" outlineLevel="0" collapsed="false">
      <c r="A34" s="6" t="s">
        <v>73</v>
      </c>
      <c r="B34" s="6" t="s">
        <v>134</v>
      </c>
      <c r="C34" s="10" t="n">
        <v>500000</v>
      </c>
      <c r="D34" s="10"/>
      <c r="E34" s="10"/>
      <c r="F34" s="29"/>
      <c r="G34" s="29"/>
      <c r="H34" s="29"/>
      <c r="I34" s="20" t="str">
        <f aca="false">IF(OR(C34="",F34=""),"",C34/F34-1)</f>
        <v/>
      </c>
      <c r="J34" s="20" t="str">
        <f aca="false">IF(OR(E34="",H34=""),"",E34/H34-1)</f>
        <v/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2"/>
  </cols>
  <sheetData>
    <row r="1" customFormat="false" ht="18.55" hidden="false" customHeight="false" outlineLevel="0" collapsed="false">
      <c r="A1" s="30" t="s">
        <v>135</v>
      </c>
    </row>
    <row r="2" customFormat="false" ht="15" hidden="false" customHeight="false" outlineLevel="0" collapsed="false">
      <c r="A2" s="3" t="s">
        <v>136</v>
      </c>
    </row>
    <row r="4" customFormat="false" ht="33.75" hidden="false" customHeight="true" outlineLevel="0" collapsed="false">
      <c r="A4" s="4" t="s">
        <v>137</v>
      </c>
      <c r="B4" s="4" t="s">
        <v>138</v>
      </c>
      <c r="C4" s="4" t="s">
        <v>139</v>
      </c>
      <c r="D4" s="4" t="s">
        <v>140</v>
      </c>
    </row>
    <row r="5" customFormat="false" ht="54" hidden="false" customHeight="true" outlineLevel="0" collapsed="false">
      <c r="A5" s="31" t="s">
        <v>141</v>
      </c>
      <c r="B5" s="32" t="s">
        <v>142</v>
      </c>
      <c r="C5" s="32" t="s">
        <v>143</v>
      </c>
      <c r="D5" s="32" t="s">
        <v>144</v>
      </c>
    </row>
    <row r="6" customFormat="false" ht="54" hidden="false" customHeight="true" outlineLevel="0" collapsed="false">
      <c r="A6" s="33" t="s">
        <v>145</v>
      </c>
      <c r="B6" s="32" t="s">
        <v>146</v>
      </c>
      <c r="C6" s="32" t="s">
        <v>147</v>
      </c>
      <c r="D6" s="34" t="s">
        <v>148</v>
      </c>
    </row>
    <row r="7" customFormat="false" ht="54" hidden="false" customHeight="true" outlineLevel="0" collapsed="false">
      <c r="A7" s="33" t="s">
        <v>149</v>
      </c>
      <c r="B7" s="32" t="s">
        <v>150</v>
      </c>
      <c r="C7" s="32" t="s">
        <v>151</v>
      </c>
      <c r="D7" s="34" t="s">
        <v>152</v>
      </c>
    </row>
    <row r="8" customFormat="false" ht="54" hidden="false" customHeight="true" outlineLevel="0" collapsed="false">
      <c r="A8" s="31" t="s">
        <v>153</v>
      </c>
      <c r="B8" s="34" t="s">
        <v>154</v>
      </c>
      <c r="C8" s="32" t="s">
        <v>155</v>
      </c>
      <c r="D8" s="34" t="s">
        <v>156</v>
      </c>
    </row>
    <row r="9" customFormat="false" ht="54" hidden="false" customHeight="true" outlineLevel="0" collapsed="false">
      <c r="A9" s="31" t="s">
        <v>124</v>
      </c>
      <c r="B9" s="32" t="s">
        <v>157</v>
      </c>
      <c r="C9" s="34" t="s">
        <v>158</v>
      </c>
      <c r="D9" s="34" t="s">
        <v>159</v>
      </c>
    </row>
    <row r="10" customFormat="false" ht="54" hidden="false" customHeight="true" outlineLevel="0" collapsed="false">
      <c r="A10" s="31" t="s">
        <v>160</v>
      </c>
      <c r="B10" s="32" t="s">
        <v>161</v>
      </c>
      <c r="C10" s="32" t="s">
        <v>162</v>
      </c>
      <c r="D10" s="34" t="s">
        <v>163</v>
      </c>
    </row>
    <row r="11" customFormat="false" ht="54" hidden="false" customHeight="true" outlineLevel="0" collapsed="false">
      <c r="A11" s="31" t="s">
        <v>130</v>
      </c>
      <c r="B11" s="34" t="s">
        <v>164</v>
      </c>
      <c r="C11" s="34" t="s">
        <v>165</v>
      </c>
      <c r="D11" s="34" t="s">
        <v>166</v>
      </c>
    </row>
    <row r="12" customFormat="false" ht="54" hidden="false" customHeight="true" outlineLevel="0" collapsed="false">
      <c r="A12" s="31" t="s">
        <v>75</v>
      </c>
      <c r="B12" s="34" t="s">
        <v>167</v>
      </c>
      <c r="C12" s="32" t="s">
        <v>168</v>
      </c>
      <c r="D12" s="34" t="s">
        <v>169</v>
      </c>
    </row>
    <row r="13" customFormat="false" ht="54" hidden="false" customHeight="true" outlineLevel="0" collapsed="false">
      <c r="A13" s="31" t="s">
        <v>170</v>
      </c>
      <c r="B13" s="34" t="s">
        <v>171</v>
      </c>
      <c r="C13" s="34" t="s">
        <v>172</v>
      </c>
      <c r="D13" s="34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2026-09-06T07:41:46Z</dcterms:created>
  <dc:creator>openpyxl</dc:creator>
  <dc:description/>
  <dc:language>en-US</dc:language>
  <cp:lastModifiedBy/>
  <dcterms:modified xsi:type="dcterms:W3CDTF">2026-09-06T07:41:46Z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