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현재 가격표" sheetId="1" state="visible" r:id="rId3"/>
    <sheet name="시간대별 비교" sheetId="2" state="visible" r:id="rId4"/>
    <sheet name="정리 필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<sst xmlns="http://schemas.openxmlformats.org/spreadsheetml/2006/main" count="356" uniqueCount="177">
  <si>
    <r>
      <rPr>
        <b val="true"/>
        <sz val="15"/>
        <color rgb="FF2A2320"/>
        <rFont val="Arial"/>
        <family val="0"/>
        <charset val="1"/>
      </rPr>
      <t xml:space="preserve">massa </t>
    </r>
    <r>
      <rPr>
        <b val="true"/>
        <sz val="15"/>
        <color rgb="FF2A2320"/>
        <rFont val="Noto Sans CJK SC"/>
        <family val="2"/>
      </rPr>
      <t xml:space="preserve">서비스 가격 현황</t>
    </r>
  </si>
  <si>
    <r>
      <rPr>
        <sz val="9"/>
        <color rgb="FF6B5F57"/>
        <rFont val="Noto Sans CJK SC"/>
        <family val="2"/>
      </rPr>
      <t xml:space="preserve">노란 칸</t>
    </r>
    <r>
      <rPr>
        <sz val="9"/>
        <color rgb="FF6B5F57"/>
        <rFont val="Arial"/>
        <family val="0"/>
        <charset val="1"/>
      </rPr>
      <t xml:space="preserve">(F</t>
    </r>
    <r>
      <rPr>
        <sz val="9"/>
        <color rgb="FF6B5F57"/>
        <rFont val="Noto Sans CJK SC"/>
        <family val="2"/>
      </rPr>
      <t xml:space="preserve">열</t>
    </r>
    <r>
      <rPr>
        <sz val="9"/>
        <color rgb="FF6B5F57"/>
        <rFont val="Arial"/>
        <family val="0"/>
        <charset val="1"/>
      </rPr>
      <t xml:space="preserve">)</t>
    </r>
    <r>
      <rPr>
        <sz val="9"/>
        <color rgb="FF6B5F57"/>
        <rFont val="Noto Sans CJK SC"/>
        <family val="2"/>
      </rPr>
      <t xml:space="preserve">에 새 가격을 넣으면 변동률이 자동 계산됩니다</t>
    </r>
    <r>
      <rPr>
        <sz val="9"/>
        <color rgb="FF6B5F57"/>
        <rFont val="Arial"/>
        <family val="0"/>
        <charset val="1"/>
      </rPr>
      <t xml:space="preserve">. </t>
    </r>
    <r>
      <rPr>
        <sz val="9"/>
        <color rgb="FF6B5F57"/>
        <rFont val="Noto Sans CJK SC"/>
        <family val="2"/>
      </rPr>
      <t xml:space="preserve">맨 오른쪽 열은 시간대별 가격이 완전히 똑같은 항목을 짝지어 보여 줍니다 — 이름만 다른 중복일 수도</t>
    </r>
    <r>
      <rPr>
        <sz val="9"/>
        <color rgb="FF6B5F57"/>
        <rFont val="Arial"/>
        <family val="0"/>
        <charset val="1"/>
      </rPr>
      <t xml:space="preserve">, </t>
    </r>
    <r>
      <rPr>
        <sz val="9"/>
        <color rgb="FF6B5F57"/>
        <rFont val="Noto Sans CJK SC"/>
        <family val="2"/>
      </rPr>
      <t xml:space="preserve">값이 우연히 같은 다른 시술일 수도 있습니다</t>
    </r>
    <r>
      <rPr>
        <sz val="9"/>
        <color rgb="FF6B5F57"/>
        <rFont val="Arial"/>
        <family val="0"/>
        <charset val="1"/>
      </rPr>
      <t xml:space="preserve">. </t>
    </r>
    <r>
      <rPr>
        <sz val="9"/>
        <color rgb="FF6B5F57"/>
        <rFont val="Noto Sans CJK SC"/>
        <family val="2"/>
      </rPr>
      <t xml:space="preserve">판단은 ‘정리 필요’ 탭에 적어 두었습니다</t>
    </r>
    <r>
      <rPr>
        <sz val="9"/>
        <color rgb="FF6B5F57"/>
        <rFont val="Arial"/>
        <family val="0"/>
        <charset val="1"/>
      </rPr>
      <t xml:space="preserve">.</t>
    </r>
  </si>
  <si>
    <t xml:space="preserve">카테고리</t>
  </si>
  <si>
    <t xml:space="preserve">서비스</t>
  </si>
  <si>
    <r>
      <rPr>
        <b val="true"/>
        <sz val="10"/>
        <color rgb="FF2A2320"/>
        <rFont val="Noto Sans CJK SC"/>
        <family val="2"/>
      </rPr>
      <t xml:space="preserve">시간</t>
    </r>
    <r>
      <rPr>
        <b val="true"/>
        <sz val="10"/>
        <color rgb="FF2A2320"/>
        <rFont val="Arial"/>
        <family val="0"/>
        <charset val="1"/>
      </rPr>
      <t xml:space="preserve">(</t>
    </r>
    <r>
      <rPr>
        <b val="true"/>
        <sz val="10"/>
        <color rgb="FF2A2320"/>
        <rFont val="Noto Sans CJK SC"/>
        <family val="2"/>
      </rPr>
      <t xml:space="preserve">분</t>
    </r>
    <r>
      <rPr>
        <b val="true"/>
        <sz val="10"/>
        <color rgb="FF2A2320"/>
        <rFont val="Arial"/>
        <family val="0"/>
        <charset val="1"/>
      </rPr>
      <t xml:space="preserve">)</t>
    </r>
  </si>
  <si>
    <r>
      <rPr>
        <b val="true"/>
        <sz val="10"/>
        <color rgb="FF2A2320"/>
        <rFont val="Noto Sans CJK SC"/>
        <family val="2"/>
      </rPr>
      <t xml:space="preserve">현재가 </t>
    </r>
    <r>
      <rPr>
        <b val="true"/>
        <sz val="10"/>
        <color rgb="FF2A2320"/>
        <rFont val="Arial"/>
        <family val="0"/>
        <charset val="1"/>
      </rPr>
      <t xml:space="preserve">(VND)</t>
    </r>
  </si>
  <si>
    <t xml:space="preserve">분당 단가</t>
  </si>
  <si>
    <r>
      <rPr>
        <b val="true"/>
        <sz val="10"/>
        <color rgb="FF2A2320"/>
        <rFont val="Noto Sans CJK SC"/>
        <family val="2"/>
      </rPr>
      <t xml:space="preserve">새 가격 </t>
    </r>
    <r>
      <rPr>
        <b val="true"/>
        <sz val="10"/>
        <color rgb="FF2A2320"/>
        <rFont val="Arial"/>
        <family val="0"/>
        <charset val="1"/>
      </rPr>
      <t xml:space="preserve">(</t>
    </r>
    <r>
      <rPr>
        <b val="true"/>
        <sz val="10"/>
        <color rgb="FF2A2320"/>
        <rFont val="Noto Sans CJK SC"/>
        <family val="2"/>
      </rPr>
      <t xml:space="preserve">입력</t>
    </r>
    <r>
      <rPr>
        <b val="true"/>
        <sz val="10"/>
        <color rgb="FF2A2320"/>
        <rFont val="Arial"/>
        <family val="0"/>
        <charset val="1"/>
      </rPr>
      <t xml:space="preserve">)</t>
    </r>
  </si>
  <si>
    <t xml:space="preserve">변동률</t>
  </si>
  <si>
    <t xml:space="preserve">활성</t>
  </si>
  <si>
    <t xml:space="preserve">가격이 같은 항목</t>
  </si>
  <si>
    <t xml:space="preserve">마사지</t>
  </si>
  <si>
    <r>
      <rPr>
        <sz val="10"/>
        <rFont val="Noto Sans CJK SC"/>
        <family val="2"/>
      </rPr>
      <t xml:space="preserve">다리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</si>
  <si>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Y</t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</si>
  <si>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머리 마사지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풋 테라피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헤드 테라피</t>
    </r>
  </si>
  <si>
    <r>
      <rPr>
        <sz val="10"/>
        <rFont val="Noto Sans CJK SC"/>
        <family val="2"/>
      </rPr>
      <t xml:space="preserve">다리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</si>
  <si>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다리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</si>
  <si>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등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</si>
  <si>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목</t>
    </r>
    <r>
      <rPr>
        <sz val="9"/>
        <color rgb="FFB0742F"/>
        <rFont val="Arial"/>
        <family val="0"/>
        <charset val="1"/>
      </rPr>
      <t xml:space="preserve">·</t>
    </r>
    <r>
      <rPr>
        <sz val="9"/>
        <color rgb="FFB0742F"/>
        <rFont val="Noto Sans CJK SC"/>
        <family val="2"/>
      </rPr>
      <t xml:space="preserve">어깨 테라피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어깨</t>
    </r>
    <r>
      <rPr>
        <sz val="9"/>
        <color rgb="FFB0742F"/>
        <rFont val="Arial"/>
        <family val="0"/>
        <charset val="1"/>
      </rPr>
      <t xml:space="preserve">·</t>
    </r>
    <r>
      <rPr>
        <sz val="9"/>
        <color rgb="FFB0742F"/>
        <rFont val="Noto Sans CJK SC"/>
        <family val="2"/>
      </rPr>
      <t xml:space="preserve">목 마사지</t>
    </r>
  </si>
  <si>
    <r>
      <rPr>
        <sz val="10"/>
        <rFont val="Noto Sans CJK SC"/>
        <family val="2"/>
      </rPr>
      <t xml:space="preserve">등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</si>
  <si>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등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</si>
  <si>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머리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</si>
  <si>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다리 마사지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풋 테라피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헤드 테라피</t>
    </r>
  </si>
  <si>
    <r>
      <rPr>
        <sz val="10"/>
        <rFont val="Noto Sans CJK SC"/>
        <family val="2"/>
      </rPr>
      <t xml:space="preserve">머리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</si>
  <si>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머리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</si>
  <si>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</si>
  <si>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등 테라피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어깨</t>
    </r>
    <r>
      <rPr>
        <sz val="9"/>
        <color rgb="FFB0742F"/>
        <rFont val="Arial"/>
        <family val="0"/>
        <charset val="1"/>
      </rPr>
      <t xml:space="preserve">·</t>
    </r>
    <r>
      <rPr>
        <sz val="9"/>
        <color rgb="FFB0742F"/>
        <rFont val="Noto Sans CJK SC"/>
        <family val="2"/>
      </rPr>
      <t xml:space="preserve">목 마사지</t>
    </r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</si>
  <si>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</si>
  <si>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</si>
  <si>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스웨디시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</si>
  <si>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스웨디시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</si>
  <si>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스포츠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</si>
  <si>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오일 마사지 </t>
    </r>
    <r>
      <rPr>
        <sz val="9"/>
        <color rgb="FFB0742F"/>
        <rFont val="Arial"/>
        <family val="0"/>
        <charset val="1"/>
      </rPr>
      <t xml:space="preserve">+ </t>
    </r>
    <r>
      <rPr>
        <sz val="9"/>
        <color rgb="FFB0742F"/>
        <rFont val="Noto Sans CJK SC"/>
        <family val="2"/>
      </rPr>
      <t xml:space="preserve">부항 요법</t>
    </r>
  </si>
  <si>
    <r>
      <rPr>
        <sz val="10"/>
        <rFont val="Noto Sans CJK SC"/>
        <family val="2"/>
      </rPr>
      <t xml:space="preserve">스포츠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</si>
  <si>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스포츠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</si>
  <si>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</si>
  <si>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오일 없는 마사지</t>
    </r>
  </si>
  <si>
    <r>
      <rPr>
        <sz val="10"/>
        <rFont val="Noto Sans CJK SC"/>
        <family val="2"/>
      </rPr>
      <t xml:space="preserve">아로마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</si>
  <si>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</si>
  <si>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</si>
  <si>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핫 스톤마사지</t>
    </r>
  </si>
  <si>
    <r>
      <rPr>
        <sz val="10"/>
        <rFont val="Noto Sans CJK SC"/>
        <family val="2"/>
      </rPr>
      <t xml:space="preserve">아로마테라피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</si>
  <si>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</si>
  <si>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</si>
  <si>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등 테라피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목</t>
    </r>
    <r>
      <rPr>
        <sz val="9"/>
        <color rgb="FFB0742F"/>
        <rFont val="Arial"/>
        <family val="0"/>
        <charset val="1"/>
      </rPr>
      <t xml:space="preserve">·</t>
    </r>
    <r>
      <rPr>
        <sz val="9"/>
        <color rgb="FFB0742F"/>
        <rFont val="Noto Sans CJK SC"/>
        <family val="2"/>
      </rPr>
      <t xml:space="preserve">어깨 테라피</t>
    </r>
  </si>
  <si>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</si>
  <si>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</si>
  <si>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마사지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부항 요법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</si>
  <si>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스포츠 테라피</t>
    </r>
  </si>
  <si>
    <r>
      <rPr>
        <sz val="10"/>
        <rFont val="Noto Sans CJK SC"/>
        <family val="2"/>
      </rPr>
      <t xml:space="preserve">오일 마사지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부항 요법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</si>
  <si>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마사지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부항 요법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</si>
  <si>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없는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</si>
  <si>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아로마 마사지</t>
    </r>
  </si>
  <si>
    <r>
      <rPr>
        <sz val="10"/>
        <rFont val="Noto Sans CJK SC"/>
        <family val="2"/>
      </rPr>
      <t xml:space="preserve">오일 없는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</si>
  <si>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없는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</si>
  <si>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타이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</si>
  <si>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타이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</si>
  <si>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태국식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</si>
  <si>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태국식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</si>
  <si>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태국식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</si>
  <si>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풋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</si>
  <si>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다리 마사지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머리 마사지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헤드 테라피</t>
    </r>
  </si>
  <si>
    <r>
      <rPr>
        <sz val="10"/>
        <rFont val="Noto Sans CJK SC"/>
        <family val="2"/>
      </rPr>
      <t xml:space="preserve">풋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</si>
  <si>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풋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</si>
  <si>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핫 스톤마사지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</si>
  <si>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아로마테라피</t>
    </r>
  </si>
  <si>
    <r>
      <rPr>
        <sz val="10"/>
        <rFont val="Noto Sans CJK SC"/>
        <family val="2"/>
      </rPr>
      <t xml:space="preserve">핫 스톤마사지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</si>
  <si>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핫 스톤마사지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</si>
  <si>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헤드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</si>
  <si>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다리 마사지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머리 마사지 </t>
    </r>
    <r>
      <rPr>
        <sz val="9"/>
        <color rgb="FFB0742F"/>
        <rFont val="Arial"/>
        <family val="0"/>
        <charset val="1"/>
      </rPr>
      <t xml:space="preserve">· </t>
    </r>
    <r>
      <rPr>
        <sz val="9"/>
        <color rgb="FFB0742F"/>
        <rFont val="Noto Sans CJK SC"/>
        <family val="2"/>
      </rPr>
      <t xml:space="preserve">풋 테라피</t>
    </r>
  </si>
  <si>
    <r>
      <rPr>
        <sz val="10"/>
        <rFont val="Noto Sans CJK SC"/>
        <family val="2"/>
      </rPr>
      <t xml:space="preserve">헤드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</si>
  <si>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헤드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</si>
  <si>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홈뷰티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케어</t>
    </r>
  </si>
  <si>
    <r>
      <rPr>
        <sz val="10"/>
        <rFont val="Noto Sans CJK SC"/>
        <family val="2"/>
      </rPr>
      <t xml:space="preserve">가슴 왁싱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</si>
  <si>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각질 제거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</si>
  <si>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겨드랑이 왁싱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</si>
  <si>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귀청소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</si>
  <si>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네일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</si>
  <si>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젤 페디큐어</t>
    </r>
  </si>
  <si>
    <r>
      <rPr>
        <sz val="10"/>
        <rFont val="Noto Sans CJK SC"/>
        <family val="2"/>
      </rPr>
      <t xml:space="preserve">네일 연장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</si>
  <si>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다리 전체 왁싱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</si>
  <si>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복부 왁싱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</si>
  <si>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비키니 왁싱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</si>
  <si>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왁싱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</si>
  <si>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한국식 전신 스크럽</t>
    </r>
  </si>
  <si>
    <r>
      <rPr>
        <sz val="10"/>
        <rFont val="Noto Sans CJK SC"/>
        <family val="2"/>
      </rPr>
      <t xml:space="preserve">젤 매니큐어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</si>
  <si>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젤 페디큐어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</si>
  <si>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네일</t>
    </r>
  </si>
  <si>
    <r>
      <rPr>
        <sz val="10"/>
        <rFont val="Noto Sans CJK SC"/>
        <family val="2"/>
      </rPr>
      <t xml:space="preserve">팔 전체 왁싱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</si>
  <si>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한국식 전신 스크럽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</si>
  <si>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9"/>
        <color rgb="FFB0742F"/>
        <rFont val="Noto Sans CJK SC"/>
        <family val="2"/>
      </rPr>
      <t xml:space="preserve">동일</t>
    </r>
    <r>
      <rPr>
        <sz val="9"/>
        <color rgb="FFB0742F"/>
        <rFont val="Arial"/>
        <family val="0"/>
        <charset val="1"/>
      </rPr>
      <t xml:space="preserve">: </t>
    </r>
    <r>
      <rPr>
        <sz val="9"/>
        <color rgb="FFB0742F"/>
        <rFont val="Noto Sans CJK SC"/>
        <family val="2"/>
      </rPr>
      <t xml:space="preserve">왁싱</t>
    </r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</si>
  <si>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60</t>
    </r>
    <r>
      <rPr>
        <b val="true"/>
        <sz val="10"/>
        <rFont val="Noto Sans CJK SC"/>
        <family val="2"/>
      </rPr>
      <t xml:space="preserve">개 항목</t>
    </r>
  </si>
  <si>
    <r>
      <rPr>
        <sz val="9"/>
        <color rgb="FF6B5F57"/>
        <rFont val="Noto Sans CJK SC"/>
        <family val="2"/>
      </rPr>
      <t xml:space="preserve">출처</t>
    </r>
    <r>
      <rPr>
        <sz val="9"/>
        <color rgb="FF6B5F57"/>
        <rFont val="Arial"/>
        <family val="0"/>
        <charset val="1"/>
      </rPr>
      <t xml:space="preserve">: massa </t>
    </r>
    <r>
      <rPr>
        <sz val="9"/>
        <color rgb="FF6B5F57"/>
        <rFont val="Noto Sans CJK SC"/>
        <family val="2"/>
      </rPr>
      <t xml:space="preserve">운영 </t>
    </r>
    <r>
      <rPr>
        <sz val="9"/>
        <color rgb="FF6B5F57"/>
        <rFont val="Arial"/>
        <family val="0"/>
        <charset val="1"/>
      </rPr>
      <t xml:space="preserve">DB public.services (2026-09-06 </t>
    </r>
    <r>
      <rPr>
        <sz val="9"/>
        <color rgb="FF6B5F57"/>
        <rFont val="Noto Sans CJK SC"/>
        <family val="2"/>
      </rPr>
      <t xml:space="preserve">기준</t>
    </r>
    <r>
      <rPr>
        <sz val="9"/>
        <color rgb="FF6B5F57"/>
        <rFont val="Arial"/>
        <family val="0"/>
        <charset val="1"/>
      </rPr>
      <t xml:space="preserve">)</t>
    </r>
  </si>
  <si>
    <t xml:space="preserve">같은 서비스의 시간대별 가격</t>
  </si>
  <si>
    <r>
      <rPr>
        <sz val="9"/>
        <color rgb="FF6B5F57"/>
        <rFont val="Noto Sans CJK SC"/>
        <family val="2"/>
      </rPr>
      <t xml:space="preserve">빈칸은 그 시간대 상품이 없다는 뜻입니다</t>
    </r>
    <r>
      <rPr>
        <sz val="9"/>
        <color rgb="FF6B5F57"/>
        <rFont val="Arial"/>
        <family val="0"/>
        <charset val="1"/>
      </rPr>
      <t xml:space="preserve">. </t>
    </r>
    <r>
      <rPr>
        <sz val="9"/>
        <color rgb="FF6B5F57"/>
        <rFont val="Noto Sans CJK SC"/>
        <family val="2"/>
      </rPr>
      <t xml:space="preserve">가로로 읽으면 시간이 늘 때 가격이 어떻게 붙는지 보입니다</t>
    </r>
    <r>
      <rPr>
        <sz val="9"/>
        <color rgb="FF6B5F57"/>
        <rFont val="Arial"/>
        <family val="0"/>
        <charset val="1"/>
      </rPr>
      <t xml:space="preserve">.</t>
    </r>
  </si>
  <si>
    <r>
      <rPr>
        <b val="true"/>
        <sz val="10"/>
        <color rgb="FF2A2320"/>
        <rFont val="Arial"/>
        <family val="0"/>
        <charset val="1"/>
      </rPr>
      <t xml:space="preserve">30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</si>
  <si>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45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</si>
  <si>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60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</si>
  <si>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90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</si>
  <si>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120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</si>
  <si>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60→120 </t>
    </r>
    <r>
      <rPr>
        <b val="true"/>
        <sz val="10"/>
        <color rgb="FF2A2320"/>
        <rFont val="Noto Sans CJK SC"/>
        <family val="2"/>
      </rPr>
      <t xml:space="preserve">배수</t>
    </r>
  </si>
  <si>
    <t xml:space="preserve">다리 마사지</t>
  </si>
  <si>
    <t xml:space="preserve">등 테라피</t>
  </si>
  <si>
    <t xml:space="preserve">머리 마사지</t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</si>
  <si>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</t>
    </r>
  </si>
  <si>
    <t xml:space="preserve">스웨디시</t>
  </si>
  <si>
    <t xml:space="preserve">스포츠 테라피</t>
  </si>
  <si>
    <t xml:space="preserve">아로마 마사지</t>
  </si>
  <si>
    <t xml:space="preserve">아로마테라피</t>
  </si>
  <si>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</t>
    </r>
  </si>
  <si>
    <r>
      <rPr>
        <sz val="10"/>
        <rFont val="Noto Sans CJK SC"/>
        <family val="2"/>
      </rPr>
      <t xml:space="preserve">오일 마사지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부항 요법</t>
    </r>
  </si>
  <si>
    <t xml:space="preserve">오일 없는 마사지</t>
  </si>
  <si>
    <t xml:space="preserve">타이 마사지</t>
  </si>
  <si>
    <t xml:space="preserve">태국식 마사지</t>
  </si>
  <si>
    <t xml:space="preserve">풋 테라피</t>
  </si>
  <si>
    <t xml:space="preserve">핫 스톤마사지</t>
  </si>
  <si>
    <t xml:space="preserve">헤드 테라피</t>
  </si>
  <si>
    <t xml:space="preserve">가슴 왁싱</t>
  </si>
  <si>
    <t xml:space="preserve">각질 제거</t>
  </si>
  <si>
    <t xml:space="preserve">겨드랑이 왁싱</t>
  </si>
  <si>
    <t xml:space="preserve">귀청소</t>
  </si>
  <si>
    <t xml:space="preserve">네일</t>
  </si>
  <si>
    <t xml:space="preserve">네일 연장</t>
  </si>
  <si>
    <t xml:space="preserve">다리 전체 왁싱</t>
  </si>
  <si>
    <t xml:space="preserve">복부 왁싱</t>
  </si>
  <si>
    <t xml:space="preserve">비키니 왁싱</t>
  </si>
  <si>
    <t xml:space="preserve">왁싱</t>
  </si>
  <si>
    <t xml:space="preserve">젤 매니큐어</t>
  </si>
  <si>
    <t xml:space="preserve">젤 페디큐어</t>
  </si>
  <si>
    <t xml:space="preserve">팔 전체 왁싱</t>
  </si>
  <si>
    <t xml:space="preserve">한국식 전신 스크럽</t>
  </si>
  <si>
    <t xml:space="preserve">가격 재정비 전에 결정해야 할 것</t>
  </si>
  <si>
    <r>
      <rPr>
        <sz val="9"/>
        <color rgb="FF6B5F57"/>
        <rFont val="Arial"/>
        <family val="0"/>
        <charset val="1"/>
      </rPr>
      <t xml:space="preserve">DB </t>
    </r>
    <r>
      <rPr>
        <sz val="9"/>
        <color rgb="FF6B5F57"/>
        <rFont val="Noto Sans CJK SC"/>
        <family val="2"/>
      </rPr>
      <t xml:space="preserve">를 그대로 읽어 뽑은 것입니다</t>
    </r>
    <r>
      <rPr>
        <sz val="9"/>
        <color rgb="FF6B5F57"/>
        <rFont val="Arial"/>
        <family val="0"/>
        <charset val="1"/>
      </rPr>
      <t xml:space="preserve">. </t>
    </r>
    <r>
      <rPr>
        <sz val="9"/>
        <color rgb="FF6B5F57"/>
        <rFont val="Noto Sans CJK SC"/>
        <family val="2"/>
      </rPr>
      <t xml:space="preserve">판단은 사장님이 하시고</t>
    </r>
    <r>
      <rPr>
        <sz val="9"/>
        <color rgb="FF6B5F57"/>
        <rFont val="Arial"/>
        <family val="0"/>
        <charset val="1"/>
      </rPr>
      <t xml:space="preserve">, </t>
    </r>
    <r>
      <rPr>
        <sz val="9"/>
        <color rgb="FF6B5F57"/>
        <rFont val="Noto Sans CJK SC"/>
        <family val="2"/>
      </rPr>
      <t xml:space="preserve">정하시면 반영하겠습니다</t>
    </r>
    <r>
      <rPr>
        <sz val="9"/>
        <color rgb="FF6B5F57"/>
        <rFont val="Arial"/>
        <family val="0"/>
        <charset val="1"/>
      </rPr>
      <t xml:space="preserve">.</t>
    </r>
  </si>
  <si>
    <t xml:space="preserve">구분</t>
  </si>
  <si>
    <t xml:space="preserve">무엇이</t>
  </si>
  <si>
    <t xml:space="preserve">지금 상태</t>
  </si>
  <si>
    <t xml:space="preserve">결정할 것</t>
  </si>
  <si>
    <t xml:space="preserve">이름 중복</t>
  </si>
  <si>
    <r>
      <rPr>
        <sz val="10"/>
        <rFont val="Noto Sans CJK SC"/>
        <family val="2"/>
      </rPr>
      <t xml:space="preserve">다리 마사지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풋 테라피</t>
    </r>
  </si>
  <si>
    <r>
      <rPr>
        <sz val="10"/>
        <rFont val="Arial"/>
        <family val="0"/>
        <charset val="1"/>
      </rPr>
      <t xml:space="preserve">60·90·120</t>
    </r>
    <r>
      <rPr>
        <sz val="10"/>
        <rFont val="Noto Sans CJK SC"/>
        <family val="2"/>
      </rPr>
      <t xml:space="preserve">분 가격이 </t>
    </r>
    <r>
      <rPr>
        <sz val="10"/>
        <rFont val="Arial"/>
        <family val="0"/>
        <charset val="1"/>
      </rPr>
      <t xml:space="preserve">350,000 / 500,000 / 850,000 </t>
    </r>
    <r>
      <rPr>
        <sz val="10"/>
        <rFont val="Noto Sans CJK SC"/>
        <family val="2"/>
      </rPr>
      <t xml:space="preserve">으로 완전히 같습니다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</si>
  <si>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하나로 합칠지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다른 시술로 나눠 값을 다르게 할지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</si>
  <si>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 마사지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헤드 테라피</t>
    </r>
  </si>
  <si>
    <r>
      <rPr>
        <sz val="10"/>
        <rFont val="Noto Sans CJK SC"/>
        <family val="2"/>
      </rPr>
      <t xml:space="preserve">하나로 합칠지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</si>
  <si>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등 테라피</t>
    </r>
  </si>
  <si>
    <r>
      <rPr>
        <sz val="10"/>
        <rFont val="Noto Sans CJK SC"/>
        <family val="2"/>
      </rPr>
      <t xml:space="preserve">셋 다 </t>
    </r>
    <r>
      <rPr>
        <sz val="10"/>
        <rFont val="Arial"/>
        <family val="0"/>
        <charset val="1"/>
      </rPr>
      <t xml:space="preserve">400,000 / 650,000 / 850,000 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이름만 다릅니다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</si>
  <si>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셋을 하나로 줄일지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등과 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어깨를 갈라 값을 다르게 할지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</si>
  <si>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타이 마사지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태국식 마사지</t>
    </r>
  </si>
  <si>
    <r>
      <rPr>
        <sz val="10"/>
        <rFont val="Arial"/>
        <family val="0"/>
        <charset val="1"/>
      </rPr>
      <t xml:space="preserve">60·90</t>
    </r>
    <r>
      <rPr>
        <sz val="10"/>
        <rFont val="Noto Sans CJK SC"/>
        <family val="2"/>
      </rPr>
      <t xml:space="preserve">분 값이 같습니다</t>
    </r>
    <r>
      <rPr>
        <sz val="10"/>
        <rFont val="Arial"/>
        <family val="0"/>
        <charset val="1"/>
      </rPr>
      <t xml:space="preserve">(400,000 / 550,000). 120</t>
    </r>
    <r>
      <rPr>
        <sz val="10"/>
        <rFont val="Noto Sans CJK SC"/>
        <family val="2"/>
      </rPr>
      <t xml:space="preserve">분은 태국식에만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</si>
  <si>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이름 하나로 통일하고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분을 둘지</t>
    </r>
    <r>
      <rPr>
        <sz val="10"/>
        <rFont val="Arial"/>
        <family val="0"/>
        <charset val="1"/>
      </rPr>
      <t xml:space="preserve">.</t>
    </r>
  </si>
  <si>
    <t xml:space="preserve">값 불일치</t>
  </si>
  <si>
    <r>
      <rPr>
        <sz val="10"/>
        <rFont val="Noto Sans CJK SC"/>
        <family val="2"/>
      </rPr>
      <t xml:space="preserve">아로마 마사지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아로마테라피</t>
    </r>
  </si>
  <si>
    <r>
      <rPr>
        <sz val="10"/>
        <rFont val="Noto Sans CJK SC"/>
        <family val="2"/>
      </rPr>
      <t xml:space="preserve">같은 아로마인데 전 시간대에서 </t>
    </r>
    <r>
      <rPr>
        <sz val="10"/>
        <rFont val="Arial"/>
        <family val="0"/>
        <charset val="1"/>
      </rPr>
      <t xml:space="preserve">100,000 </t>
    </r>
    <r>
      <rPr>
        <sz val="10"/>
        <rFont val="Noto Sans CJK SC"/>
        <family val="2"/>
      </rPr>
      <t xml:space="preserve">씩 차이 납니다 </t>
    </r>
    <r>
      <rPr>
        <sz val="10"/>
        <rFont val="Arial"/>
        <family val="0"/>
        <charset val="1"/>
      </rPr>
      <t xml:space="preserve">(450·650·850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550·750·950).</t>
    </r>
  </si>
  <si>
    <r>
      <rPr>
        <sz val="10"/>
        <rFont val="Noto Sans CJK SC"/>
        <family val="2"/>
      </rPr>
      <t xml:space="preserve">등급을 나눈 것이라면 이름에 드러내고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값을 맞출 것</t>
    </r>
    <r>
      <rPr>
        <sz val="10"/>
        <rFont val="Arial"/>
        <family val="0"/>
        <charset val="1"/>
      </rPr>
      <t xml:space="preserve">.</t>
    </r>
  </si>
  <si>
    <t xml:space="preserve">값 눌림</t>
  </si>
  <si>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 요금이 대부분 </t>
    </r>
    <r>
      <rPr>
        <sz val="10"/>
        <rFont val="Arial"/>
        <family val="0"/>
        <charset val="1"/>
      </rPr>
      <t xml:space="preserve">850,000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</si>
  <si>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분에서 </t>
    </r>
    <r>
      <rPr>
        <sz val="10"/>
        <rFont val="Arial"/>
        <family val="0"/>
        <charset val="1"/>
      </rPr>
      <t xml:space="preserve">350,000 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500,000 </t>
    </r>
    <r>
      <rPr>
        <sz val="10"/>
        <rFont val="Noto Sans CJK SC"/>
        <family val="2"/>
      </rPr>
      <t xml:space="preserve">으로 벌어졌던 항목이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분에서는 모두 </t>
    </r>
    <r>
      <rPr>
        <sz val="10"/>
        <rFont val="Arial"/>
        <family val="0"/>
        <charset val="1"/>
      </rPr>
      <t xml:space="preserve">850,000 </t>
    </r>
    <r>
      <rPr>
        <sz val="10"/>
        <rFont val="Noto Sans CJK SC"/>
        <family val="2"/>
      </rPr>
      <t xml:space="preserve">으로 모입니다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시간이 길수록 시술 간 값 차이가 사라집니다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</si>
  <si>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분에도 등급 차이를 남길지</t>
    </r>
    <r>
      <rPr>
        <sz val="10"/>
        <rFont val="Arial"/>
        <family val="0"/>
        <charset val="1"/>
      </rPr>
      <t xml:space="preserve">.</t>
    </r>
  </si>
  <si>
    <t xml:space="preserve">단가 역전</t>
  </si>
  <si>
    <r>
      <rPr>
        <sz val="10"/>
        <rFont val="Noto Sans CJK SC"/>
        <family val="2"/>
      </rPr>
      <t xml:space="preserve">다리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머리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풋 테라피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</si>
  <si>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5,833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분 대비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7,083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분 으로 길수록 분당 단가가 올라갑니다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보통은 길수록 내려갑니다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</si>
  <si>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장시간 할인 구조로 갈지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지금 구조를 유지할지</t>
    </r>
    <r>
      <rPr>
        <sz val="10"/>
        <rFont val="Arial"/>
        <family val="0"/>
        <charset val="1"/>
      </rPr>
      <t xml:space="preserve">.</t>
    </r>
  </si>
  <si>
    <t xml:space="preserve">빠진 시간</t>
  </si>
  <si>
    <r>
      <rPr>
        <sz val="10"/>
        <rFont val="Noto Sans CJK SC"/>
        <family val="2"/>
      </rPr>
      <t xml:space="preserve">스웨디시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타이 마사지</t>
    </r>
  </si>
  <si>
    <r>
      <rPr>
        <sz val="10"/>
        <rFont val="Noto Sans CJK SC"/>
        <family val="2"/>
      </rPr>
      <t xml:space="preserve">다른 마사지에는 다 있는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분이 이 둘에는 없습니다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</si>
  <si>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추가할지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일부러 뺀 것인지</t>
    </r>
    <r>
      <rPr>
        <sz val="10"/>
        <rFont val="Arial"/>
        <family val="0"/>
        <charset val="1"/>
      </rPr>
      <t xml:space="preserve">.</t>
    </r>
  </si>
  <si>
    <t xml:space="preserve">값 우연 일치</t>
  </si>
  <si>
    <r>
      <rPr>
        <sz val="10"/>
        <rFont val="Noto Sans CJK SC"/>
        <family val="2"/>
      </rPr>
      <t xml:space="preserve">왁싱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한국식 전신 스크럽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스포츠 테라피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오일 마사지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부항 요법</t>
    </r>
  </si>
  <si>
    <r>
      <rPr>
        <sz val="10"/>
        <rFont val="Noto Sans CJK SC"/>
        <family val="2"/>
      </rPr>
      <t xml:space="preserve">서로 다른 시술인데 값이 똑같습니다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각각 </t>
    </r>
    <r>
      <rPr>
        <sz val="10"/>
        <rFont val="Arial"/>
        <family val="0"/>
        <charset val="1"/>
      </rPr>
      <t xml:space="preserve">500,000 · 500,000/700,000/850,000). ‘</t>
    </r>
    <r>
      <rPr>
        <sz val="10"/>
        <rFont val="Noto Sans CJK SC"/>
        <family val="2"/>
      </rPr>
      <t xml:space="preserve">가격이 같은 항목’ 열에 짝으로 뜨지만 이름 중복은 아닙니다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</si>
  <si>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값을 갈라 등급을 드러낼지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그대로 둘지</t>
    </r>
    <r>
      <rPr>
        <sz val="10"/>
        <rFont val="Arial"/>
        <family val="0"/>
        <charset val="1"/>
      </rPr>
      <t xml:space="preserve">.</t>
    </r>
  </si>
  <si>
    <t xml:space="preserve">항목 겹침</t>
  </si>
  <si>
    <r>
      <rPr>
        <sz val="10"/>
        <rFont val="Noto Sans CJK SC"/>
        <family val="2"/>
      </rPr>
      <t xml:space="preserve">왁싱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(500,000)</t>
    </r>
  </si>
  <si>
    <r>
      <rPr>
        <sz val="10"/>
        <rFont val="Noto Sans CJK SC"/>
        <family val="2"/>
      </rPr>
      <t xml:space="preserve">부위별 왁싱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겨드랑이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복부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비키니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따로 있는데 뭉뚱그린 ‘왁싱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분’ 이 함께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</si>
  <si>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전신 패키지로 이름을 바꿀지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없앨지</t>
    </r>
    <r>
      <rPr>
        <sz val="10"/>
        <rFont val="Arial"/>
        <family val="0"/>
        <charset val="1"/>
      </rPr>
      <t xml:space="preserve">.</t>
    </r>
  </si>
  <si>
    <t xml:space="preserve">분류 비어 있음</t>
  </si>
  <si>
    <r>
      <rPr>
        <sz val="10"/>
        <rFont val="Arial"/>
        <family val="0"/>
        <charset val="1"/>
      </rPr>
      <t xml:space="preserve">massage_type </t>
    </r>
    <r>
      <rPr>
        <sz val="10"/>
        <rFont val="Noto Sans CJK SC"/>
        <family val="2"/>
      </rPr>
      <t xml:space="preserve">컬럼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</si>
  <si>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개에만 값이 있습니다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아로마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스웨디시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타이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나머지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개는 비어 있어 앱에서 종류로 거르면 걸리지 않습니다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</si>
  <si>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전부 채울지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분류를 안 쓸지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</si>
</sst>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;[RED]\-0.0%;\-"/>
    <numFmt numFmtId="167" formatCode="0.00\배;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A2320"/>
      <name val="Arial"/>
      <family val="0"/>
      <charset val="1"/>
    </font>
    <font>
      <b val="true"/>
      <sz val="15"/>
      <color rgb="FF2A2320"/>
      <name val="Noto Sans CJK SC"/>
      <family val="2"/>
    </font>
    <font>
      <sz val="9"/>
      <color rgb="FF6B5F57"/>
      <name val="Noto Sans CJK SC"/>
      <family val="2"/>
    </font>
    <font>
      <sz val="9"/>
      <color rgb="FF6B5F57"/>
      <name val="Arial"/>
      <family val="0"/>
      <charset val="1"/>
    </font>
    <font>
      <b val="true"/>
      <sz val="10"/>
      <color rgb="FF2A2320"/>
      <name val="Noto Sans CJK SC"/>
      <family val="2"/>
    </font>
    <font>
      <b val="true"/>
      <sz val="10"/>
      <color rgb="FF2A232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6B5F5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B0742F"/>
      <name val="Noto Sans CJK SC"/>
      <family val="2"/>
    </font>
    <font>
      <sz val="9"/>
      <color rgb="FFB0742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B0742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1E9DE"/>
        <bgColor rgb="FFFDF0D5"/>
      </patternFill>
    </fill>
    <fill>
      <patternFill patternType="solid">
        <fgColor rgb="FFFDF0D5"/>
        <bgColor rgb="FFF1E9D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8CB"/>
      </left>
      <right style="thin">
        <color rgb="FFE2D8CB"/>
      </right>
      <top style="thin">
        <color rgb="FFE2D8CB"/>
      </top>
      <bottom style="thin">
        <color rgb="FFE2D8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E9D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42F"/>
      <rgbColor rgb="FF800080"/>
      <rgbColor rgb="FF008080"/>
      <rgbColor rgb="FFC0C0C0"/>
      <rgbColor rgb="FF808080"/>
      <rgbColor rgb="FF9999FF"/>
      <rgbColor rgb="FF993366"/>
      <rgbColor rgb="FFFDF0D5"/>
      <rgbColor rgb="FFCCFFFF"/>
      <rgbColor rgb="FF660066"/>
      <rgbColor rgb="FFFF8080"/>
      <rgbColor rgb="FF0066CC"/>
      <rgbColor rgb="FFE2D8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F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3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30"/>
  </cols>
  <sheetData>
    <row r="1" customFormat="false" ht="23.1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n">
        <v>60</v>
      </c>
      <c r="D5" s="6" t="n">
        <v>350000</v>
      </c>
      <c r="E5" s="7" t="n">
        <f aca="false">IFERROR(D5/C5,"")</f>
        <v>5833.33333333333</v>
      </c>
      <c r="F5" s="8"/>
      <c r="G5" s="9" t="str">
        <f aca="false">IF(F5="","",IFERROR(F5/D5-1,""))</f>
        <v/>
      </c>
      <c r="H5" s="5" t="s">
        <v>13</v>
      </c>
      <c r="I5" s="10" t="s">
        <v>14</v>
      </c>
    </row>
    <row r="6" customFormat="false" ht="15" hidden="false" customHeight="false" outlineLevel="0" collapsed="false">
      <c r="A6" s="4" t="s">
        <v>11</v>
      </c>
      <c r="B6" s="4" t="s">
        <v>15</v>
      </c>
      <c r="C6" s="5" t="n">
        <v>90</v>
      </c>
      <c r="D6" s="6" t="n">
        <v>500000</v>
      </c>
      <c r="E6" s="7" t="n">
        <f aca="false">IFERROR(D6/C6,"")</f>
        <v>5555.55555555556</v>
      </c>
      <c r="F6" s="8"/>
      <c r="G6" s="9" t="str">
        <f aca="false">IF(F6="","",IFERROR(F6/D6-1,""))</f>
        <v/>
      </c>
      <c r="H6" s="5" t="s">
        <v>13</v>
      </c>
      <c r="I6" s="10" t="s">
        <v>14</v>
      </c>
    </row>
    <row r="7" customFormat="false" ht="15" hidden="false" customHeight="false" outlineLevel="0" collapsed="false">
      <c r="A7" s="4" t="s">
        <v>11</v>
      </c>
      <c r="B7" s="4" t="s">
        <v>16</v>
      </c>
      <c r="C7" s="5" t="n">
        <v>120</v>
      </c>
      <c r="D7" s="6" t="n">
        <v>850000</v>
      </c>
      <c r="E7" s="7" t="n">
        <f aca="false">IFERROR(D7/C7,"")</f>
        <v>7083.33333333333</v>
      </c>
      <c r="F7" s="8"/>
      <c r="G7" s="9" t="str">
        <f aca="false">IF(F7="","",IFERROR(F7/D7-1,""))</f>
        <v/>
      </c>
      <c r="H7" s="5" t="s">
        <v>13</v>
      </c>
      <c r="I7" s="10" t="s">
        <v>14</v>
      </c>
    </row>
    <row r="8" customFormat="false" ht="15" hidden="false" customHeight="false" outlineLevel="0" collapsed="false">
      <c r="A8" s="4" t="s">
        <v>11</v>
      </c>
      <c r="B8" s="4" t="s">
        <v>17</v>
      </c>
      <c r="C8" s="5" t="n">
        <v>60</v>
      </c>
      <c r="D8" s="6" t="n">
        <v>400000</v>
      </c>
      <c r="E8" s="7" t="n">
        <f aca="false">IFERROR(D8/C8,"")</f>
        <v>6666.66666666667</v>
      </c>
      <c r="F8" s="8"/>
      <c r="G8" s="9" t="str">
        <f aca="false">IF(F8="","",IFERROR(F8/D8-1,""))</f>
        <v/>
      </c>
      <c r="H8" s="5" t="s">
        <v>13</v>
      </c>
      <c r="I8" s="10" t="s">
        <v>18</v>
      </c>
    </row>
    <row r="9" customFormat="false" ht="15" hidden="false" customHeight="false" outlineLevel="0" collapsed="false">
      <c r="A9" s="4" t="s">
        <v>11</v>
      </c>
      <c r="B9" s="4" t="s">
        <v>19</v>
      </c>
      <c r="C9" s="5" t="n">
        <v>90</v>
      </c>
      <c r="D9" s="6" t="n">
        <v>650000</v>
      </c>
      <c r="E9" s="7" t="n">
        <f aca="false">IFERROR(D9/C9,"")</f>
        <v>7222.22222222222</v>
      </c>
      <c r="F9" s="8"/>
      <c r="G9" s="9" t="str">
        <f aca="false">IF(F9="","",IFERROR(F9/D9-1,""))</f>
        <v/>
      </c>
      <c r="H9" s="5" t="s">
        <v>13</v>
      </c>
      <c r="I9" s="10" t="s">
        <v>18</v>
      </c>
    </row>
    <row r="10" customFormat="false" ht="15" hidden="false" customHeight="false" outlineLevel="0" collapsed="false">
      <c r="A10" s="4" t="s">
        <v>11</v>
      </c>
      <c r="B10" s="4" t="s">
        <v>20</v>
      </c>
      <c r="C10" s="5" t="n">
        <v>120</v>
      </c>
      <c r="D10" s="6" t="n">
        <v>850000</v>
      </c>
      <c r="E10" s="7" t="n">
        <f aca="false">IFERROR(D10/C10,"")</f>
        <v>7083.33333333333</v>
      </c>
      <c r="F10" s="8"/>
      <c r="G10" s="9" t="str">
        <f aca="false">IF(F10="","",IFERROR(F10/D10-1,""))</f>
        <v/>
      </c>
      <c r="H10" s="5" t="s">
        <v>13</v>
      </c>
      <c r="I10" s="10" t="s">
        <v>18</v>
      </c>
    </row>
    <row r="11" customFormat="false" ht="15" hidden="false" customHeight="false" outlineLevel="0" collapsed="false">
      <c r="A11" s="4" t="s">
        <v>11</v>
      </c>
      <c r="B11" s="4" t="s">
        <v>21</v>
      </c>
      <c r="C11" s="5" t="n">
        <v>60</v>
      </c>
      <c r="D11" s="6" t="n">
        <v>350000</v>
      </c>
      <c r="E11" s="7" t="n">
        <f aca="false">IFERROR(D11/C11,"")</f>
        <v>5833.33333333333</v>
      </c>
      <c r="F11" s="8"/>
      <c r="G11" s="9" t="str">
        <f aca="false">IF(F11="","",IFERROR(F11/D11-1,""))</f>
        <v/>
      </c>
      <c r="H11" s="5" t="s">
        <v>13</v>
      </c>
      <c r="I11" s="10" t="s">
        <v>22</v>
      </c>
    </row>
    <row r="12" customFormat="false" ht="15" hidden="false" customHeight="false" outlineLevel="0" collapsed="false">
      <c r="A12" s="4" t="s">
        <v>11</v>
      </c>
      <c r="B12" s="4" t="s">
        <v>23</v>
      </c>
      <c r="C12" s="5" t="n">
        <v>90</v>
      </c>
      <c r="D12" s="6" t="n">
        <v>500000</v>
      </c>
      <c r="E12" s="7" t="n">
        <f aca="false">IFERROR(D12/C12,"")</f>
        <v>5555.55555555556</v>
      </c>
      <c r="F12" s="8"/>
      <c r="G12" s="9" t="str">
        <f aca="false">IF(F12="","",IFERROR(F12/D12-1,""))</f>
        <v/>
      </c>
      <c r="H12" s="5" t="s">
        <v>13</v>
      </c>
      <c r="I12" s="10" t="s">
        <v>22</v>
      </c>
    </row>
    <row r="13" customFormat="false" ht="15" hidden="false" customHeight="false" outlineLevel="0" collapsed="false">
      <c r="A13" s="4" t="s">
        <v>11</v>
      </c>
      <c r="B13" s="4" t="s">
        <v>24</v>
      </c>
      <c r="C13" s="5" t="n">
        <v>120</v>
      </c>
      <c r="D13" s="6" t="n">
        <v>850000</v>
      </c>
      <c r="E13" s="7" t="n">
        <f aca="false">IFERROR(D13/C13,"")</f>
        <v>7083.33333333333</v>
      </c>
      <c r="F13" s="8"/>
      <c r="G13" s="9" t="str">
        <f aca="false">IF(F13="","",IFERROR(F13/D13-1,""))</f>
        <v/>
      </c>
      <c r="H13" s="5" t="s">
        <v>13</v>
      </c>
      <c r="I13" s="10" t="s">
        <v>22</v>
      </c>
    </row>
    <row r="14" customFormat="false" ht="15" hidden="false" customHeight="false" outlineLevel="0" collapsed="false">
      <c r="A14" s="4" t="s">
        <v>11</v>
      </c>
      <c r="B14" s="4" t="s">
        <v>25</v>
      </c>
      <c r="C14" s="5" t="n">
        <v>60</v>
      </c>
      <c r="D14" s="6" t="n">
        <v>400000</v>
      </c>
      <c r="E14" s="7" t="n">
        <f aca="false">IFERROR(D14/C14,"")</f>
        <v>6666.66666666667</v>
      </c>
      <c r="F14" s="8"/>
      <c r="G14" s="9" t="str">
        <f aca="false">IF(F14="","",IFERROR(F14/D14-1,""))</f>
        <v/>
      </c>
      <c r="H14" s="5" t="s">
        <v>13</v>
      </c>
      <c r="I14" s="10" t="s">
        <v>26</v>
      </c>
    </row>
    <row r="15" customFormat="false" ht="15" hidden="false" customHeight="false" outlineLevel="0" collapsed="false">
      <c r="A15" s="4" t="s">
        <v>11</v>
      </c>
      <c r="B15" s="4" t="s">
        <v>27</v>
      </c>
      <c r="C15" s="5" t="n">
        <v>90</v>
      </c>
      <c r="D15" s="6" t="n">
        <v>650000</v>
      </c>
      <c r="E15" s="7" t="n">
        <f aca="false">IFERROR(D15/C15,"")</f>
        <v>7222.22222222222</v>
      </c>
      <c r="F15" s="8"/>
      <c r="G15" s="9" t="str">
        <f aca="false">IF(F15="","",IFERROR(F15/D15-1,""))</f>
        <v/>
      </c>
      <c r="H15" s="5" t="s">
        <v>13</v>
      </c>
      <c r="I15" s="10" t="s">
        <v>26</v>
      </c>
    </row>
    <row r="16" customFormat="false" ht="15" hidden="false" customHeight="false" outlineLevel="0" collapsed="false">
      <c r="A16" s="4" t="s">
        <v>11</v>
      </c>
      <c r="B16" s="4" t="s">
        <v>28</v>
      </c>
      <c r="C16" s="5" t="n">
        <v>120</v>
      </c>
      <c r="D16" s="6" t="n">
        <v>850000</v>
      </c>
      <c r="E16" s="7" t="n">
        <f aca="false">IFERROR(D16/C16,"")</f>
        <v>7083.33333333333</v>
      </c>
      <c r="F16" s="8"/>
      <c r="G16" s="9" t="str">
        <f aca="false">IF(F16="","",IFERROR(F16/D16-1,""))</f>
        <v/>
      </c>
      <c r="H16" s="5" t="s">
        <v>13</v>
      </c>
      <c r="I16" s="10" t="s">
        <v>26</v>
      </c>
    </row>
    <row r="17" customFormat="false" ht="15" hidden="false" customHeight="false" outlineLevel="0" collapsed="false">
      <c r="A17" s="11" t="s">
        <v>11</v>
      </c>
      <c r="B17" s="11" t="s">
        <v>29</v>
      </c>
      <c r="C17" s="12" t="n">
        <v>60</v>
      </c>
      <c r="D17" s="13" t="n">
        <v>450000</v>
      </c>
      <c r="E17" s="14" t="n">
        <f aca="false">IFERROR(D17/C17,"")</f>
        <v>7500</v>
      </c>
      <c r="F17" s="8"/>
      <c r="G17" s="15" t="str">
        <f aca="false">IF(F17="","",IFERROR(F17/D17-1,""))</f>
        <v/>
      </c>
      <c r="H17" s="12" t="s">
        <v>13</v>
      </c>
      <c r="I17" s="16"/>
    </row>
    <row r="18" customFormat="false" ht="15" hidden="false" customHeight="false" outlineLevel="0" collapsed="false">
      <c r="A18" s="11" t="s">
        <v>11</v>
      </c>
      <c r="B18" s="11" t="s">
        <v>30</v>
      </c>
      <c r="C18" s="12" t="n">
        <v>90</v>
      </c>
      <c r="D18" s="13" t="n">
        <v>650000</v>
      </c>
      <c r="E18" s="14" t="n">
        <f aca="false">IFERROR(D18/C18,"")</f>
        <v>7222.22222222222</v>
      </c>
      <c r="F18" s="8"/>
      <c r="G18" s="15" t="str">
        <f aca="false">IF(F18="","",IFERROR(F18/D18-1,""))</f>
        <v/>
      </c>
      <c r="H18" s="12" t="s">
        <v>13</v>
      </c>
      <c r="I18" s="16"/>
    </row>
    <row r="19" customFormat="false" ht="15" hidden="false" customHeight="false" outlineLevel="0" collapsed="false">
      <c r="A19" s="4" t="s">
        <v>11</v>
      </c>
      <c r="B19" s="4" t="s">
        <v>31</v>
      </c>
      <c r="C19" s="5" t="n">
        <v>60</v>
      </c>
      <c r="D19" s="6" t="n">
        <v>500000</v>
      </c>
      <c r="E19" s="7" t="n">
        <f aca="false">IFERROR(D19/C19,"")</f>
        <v>8333.33333333333</v>
      </c>
      <c r="F19" s="8"/>
      <c r="G19" s="9" t="str">
        <f aca="false">IF(F19="","",IFERROR(F19/D19-1,""))</f>
        <v/>
      </c>
      <c r="H19" s="5" t="s">
        <v>13</v>
      </c>
      <c r="I19" s="10" t="s">
        <v>32</v>
      </c>
    </row>
    <row r="20" customFormat="false" ht="15" hidden="false" customHeight="false" outlineLevel="0" collapsed="false">
      <c r="A20" s="4" t="s">
        <v>11</v>
      </c>
      <c r="B20" s="4" t="s">
        <v>33</v>
      </c>
      <c r="C20" s="5" t="n">
        <v>90</v>
      </c>
      <c r="D20" s="6" t="n">
        <v>700000</v>
      </c>
      <c r="E20" s="7" t="n">
        <f aca="false">IFERROR(D20/C20,"")</f>
        <v>7777.77777777778</v>
      </c>
      <c r="F20" s="8"/>
      <c r="G20" s="9" t="str">
        <f aca="false">IF(F20="","",IFERROR(F20/D20-1,""))</f>
        <v/>
      </c>
      <c r="H20" s="5" t="s">
        <v>13</v>
      </c>
      <c r="I20" s="10" t="s">
        <v>32</v>
      </c>
    </row>
    <row r="21" customFormat="false" ht="15" hidden="false" customHeight="false" outlineLevel="0" collapsed="false">
      <c r="A21" s="4" t="s">
        <v>11</v>
      </c>
      <c r="B21" s="4" t="s">
        <v>34</v>
      </c>
      <c r="C21" s="5" t="n">
        <v>120</v>
      </c>
      <c r="D21" s="6" t="n">
        <v>850000</v>
      </c>
      <c r="E21" s="7" t="n">
        <f aca="false">IFERROR(D21/C21,"")</f>
        <v>7083.33333333333</v>
      </c>
      <c r="F21" s="8"/>
      <c r="G21" s="9" t="str">
        <f aca="false">IF(F21="","",IFERROR(F21/D21-1,""))</f>
        <v/>
      </c>
      <c r="H21" s="5" t="s">
        <v>13</v>
      </c>
      <c r="I21" s="10" t="s">
        <v>32</v>
      </c>
    </row>
    <row r="22" customFormat="false" ht="15" hidden="false" customHeight="false" outlineLevel="0" collapsed="false">
      <c r="A22" s="4" t="s">
        <v>11</v>
      </c>
      <c r="B22" s="4" t="s">
        <v>35</v>
      </c>
      <c r="C22" s="5" t="n">
        <v>60</v>
      </c>
      <c r="D22" s="6" t="n">
        <v>450000</v>
      </c>
      <c r="E22" s="7" t="n">
        <f aca="false">IFERROR(D22/C22,"")</f>
        <v>7500</v>
      </c>
      <c r="F22" s="8"/>
      <c r="G22" s="9" t="str">
        <f aca="false">IF(F22="","",IFERROR(F22/D22-1,""))</f>
        <v/>
      </c>
      <c r="H22" s="5" t="s">
        <v>13</v>
      </c>
      <c r="I22" s="10" t="s">
        <v>36</v>
      </c>
    </row>
    <row r="23" customFormat="false" ht="15" hidden="false" customHeight="false" outlineLevel="0" collapsed="false">
      <c r="A23" s="4" t="s">
        <v>11</v>
      </c>
      <c r="B23" s="4" t="s">
        <v>37</v>
      </c>
      <c r="C23" s="5" t="n">
        <v>90</v>
      </c>
      <c r="D23" s="6" t="n">
        <v>650000</v>
      </c>
      <c r="E23" s="7" t="n">
        <f aca="false">IFERROR(D23/C23,"")</f>
        <v>7222.22222222222</v>
      </c>
      <c r="F23" s="8"/>
      <c r="G23" s="9" t="str">
        <f aca="false">IF(F23="","",IFERROR(F23/D23-1,""))</f>
        <v/>
      </c>
      <c r="H23" s="5" t="s">
        <v>13</v>
      </c>
      <c r="I23" s="10" t="s">
        <v>36</v>
      </c>
    </row>
    <row r="24" customFormat="false" ht="15" hidden="false" customHeight="false" outlineLevel="0" collapsed="false">
      <c r="A24" s="4" t="s">
        <v>11</v>
      </c>
      <c r="B24" s="4" t="s">
        <v>38</v>
      </c>
      <c r="C24" s="5" t="n">
        <v>120</v>
      </c>
      <c r="D24" s="6" t="n">
        <v>850000</v>
      </c>
      <c r="E24" s="7" t="n">
        <f aca="false">IFERROR(D24/C24,"")</f>
        <v>7083.33333333333</v>
      </c>
      <c r="F24" s="8"/>
      <c r="G24" s="9" t="str">
        <f aca="false">IF(F24="","",IFERROR(F24/D24-1,""))</f>
        <v/>
      </c>
      <c r="H24" s="5" t="s">
        <v>13</v>
      </c>
      <c r="I24" s="10" t="s">
        <v>36</v>
      </c>
    </row>
    <row r="25" customFormat="false" ht="15" hidden="false" customHeight="false" outlineLevel="0" collapsed="false">
      <c r="A25" s="4" t="s">
        <v>11</v>
      </c>
      <c r="B25" s="4" t="s">
        <v>39</v>
      </c>
      <c r="C25" s="5" t="n">
        <v>60</v>
      </c>
      <c r="D25" s="6" t="n">
        <v>550000</v>
      </c>
      <c r="E25" s="7" t="n">
        <f aca="false">IFERROR(D25/C25,"")</f>
        <v>9166.66666666667</v>
      </c>
      <c r="F25" s="8"/>
      <c r="G25" s="9" t="str">
        <f aca="false">IF(F25="","",IFERROR(F25/D25-1,""))</f>
        <v/>
      </c>
      <c r="H25" s="5" t="s">
        <v>13</v>
      </c>
      <c r="I25" s="10" t="s">
        <v>40</v>
      </c>
    </row>
    <row r="26" customFormat="false" ht="15" hidden="false" customHeight="false" outlineLevel="0" collapsed="false">
      <c r="A26" s="4" t="s">
        <v>11</v>
      </c>
      <c r="B26" s="4" t="s">
        <v>41</v>
      </c>
      <c r="C26" s="5" t="n">
        <v>90</v>
      </c>
      <c r="D26" s="6" t="n">
        <v>750000</v>
      </c>
      <c r="E26" s="7" t="n">
        <f aca="false">IFERROR(D26/C26,"")</f>
        <v>8333.33333333333</v>
      </c>
      <c r="F26" s="8"/>
      <c r="G26" s="9" t="str">
        <f aca="false">IF(F26="","",IFERROR(F26/D26-1,""))</f>
        <v/>
      </c>
      <c r="H26" s="5" t="s">
        <v>13</v>
      </c>
      <c r="I26" s="10" t="s">
        <v>40</v>
      </c>
    </row>
    <row r="27" customFormat="false" ht="15" hidden="false" customHeight="false" outlineLevel="0" collapsed="false">
      <c r="A27" s="4" t="s">
        <v>11</v>
      </c>
      <c r="B27" s="4" t="s">
        <v>42</v>
      </c>
      <c r="C27" s="5" t="n">
        <v>120</v>
      </c>
      <c r="D27" s="6" t="n">
        <v>950000</v>
      </c>
      <c r="E27" s="7" t="n">
        <f aca="false">IFERROR(D27/C27,"")</f>
        <v>7916.66666666667</v>
      </c>
      <c r="F27" s="8"/>
      <c r="G27" s="9" t="str">
        <f aca="false">IF(F27="","",IFERROR(F27/D27-1,""))</f>
        <v/>
      </c>
      <c r="H27" s="5" t="s">
        <v>13</v>
      </c>
      <c r="I27" s="10" t="s">
        <v>40</v>
      </c>
    </row>
    <row r="28" customFormat="false" ht="15" hidden="false" customHeight="false" outlineLevel="0" collapsed="false">
      <c r="A28" s="4" t="s">
        <v>11</v>
      </c>
      <c r="B28" s="4" t="s">
        <v>43</v>
      </c>
      <c r="C28" s="5" t="n">
        <v>60</v>
      </c>
      <c r="D28" s="6" t="n">
        <v>400000</v>
      </c>
      <c r="E28" s="7" t="n">
        <f aca="false">IFERROR(D28/C28,"")</f>
        <v>6666.66666666667</v>
      </c>
      <c r="F28" s="8"/>
      <c r="G28" s="9" t="str">
        <f aca="false">IF(F28="","",IFERROR(F28/D28-1,""))</f>
        <v/>
      </c>
      <c r="H28" s="5" t="s">
        <v>13</v>
      </c>
      <c r="I28" s="10" t="s">
        <v>44</v>
      </c>
    </row>
    <row r="29" customFormat="false" ht="15" hidden="false" customHeight="false" outlineLevel="0" collapsed="false">
      <c r="A29" s="4" t="s">
        <v>11</v>
      </c>
      <c r="B29" s="4" t="s">
        <v>45</v>
      </c>
      <c r="C29" s="5" t="n">
        <v>90</v>
      </c>
      <c r="D29" s="6" t="n">
        <v>650000</v>
      </c>
      <c r="E29" s="7" t="n">
        <f aca="false">IFERROR(D29/C29,"")</f>
        <v>7222.22222222222</v>
      </c>
      <c r="F29" s="8"/>
      <c r="G29" s="9" t="str">
        <f aca="false">IF(F29="","",IFERROR(F29/D29-1,""))</f>
        <v/>
      </c>
      <c r="H29" s="5" t="s">
        <v>13</v>
      </c>
      <c r="I29" s="10" t="s">
        <v>44</v>
      </c>
    </row>
    <row r="30" customFormat="false" ht="15" hidden="false" customHeight="false" outlineLevel="0" collapsed="false">
      <c r="A30" s="4" t="s">
        <v>11</v>
      </c>
      <c r="B30" s="4" t="s">
        <v>46</v>
      </c>
      <c r="C30" s="5" t="n">
        <v>120</v>
      </c>
      <c r="D30" s="6" t="n">
        <v>850000</v>
      </c>
      <c r="E30" s="7" t="n">
        <f aca="false">IFERROR(D30/C30,"")</f>
        <v>7083.33333333333</v>
      </c>
      <c r="F30" s="8"/>
      <c r="G30" s="9" t="str">
        <f aca="false">IF(F30="","",IFERROR(F30/D30-1,""))</f>
        <v/>
      </c>
      <c r="H30" s="5" t="s">
        <v>13</v>
      </c>
      <c r="I30" s="10" t="s">
        <v>44</v>
      </c>
    </row>
    <row r="31" customFormat="false" ht="15" hidden="false" customHeight="false" outlineLevel="0" collapsed="false">
      <c r="A31" s="4" t="s">
        <v>11</v>
      </c>
      <c r="B31" s="4" t="s">
        <v>47</v>
      </c>
      <c r="C31" s="5" t="n">
        <v>60</v>
      </c>
      <c r="D31" s="6" t="n">
        <v>500000</v>
      </c>
      <c r="E31" s="7" t="n">
        <f aca="false">IFERROR(D31/C31,"")</f>
        <v>8333.33333333333</v>
      </c>
      <c r="F31" s="8"/>
      <c r="G31" s="9" t="str">
        <f aca="false">IF(F31="","",IFERROR(F31/D31-1,""))</f>
        <v/>
      </c>
      <c r="H31" s="5" t="s">
        <v>13</v>
      </c>
      <c r="I31" s="10" t="s">
        <v>48</v>
      </c>
    </row>
    <row r="32" customFormat="false" ht="15" hidden="false" customHeight="false" outlineLevel="0" collapsed="false">
      <c r="A32" s="4" t="s">
        <v>11</v>
      </c>
      <c r="B32" s="4" t="s">
        <v>49</v>
      </c>
      <c r="C32" s="5" t="n">
        <v>90</v>
      </c>
      <c r="D32" s="6" t="n">
        <v>700000</v>
      </c>
      <c r="E32" s="7" t="n">
        <f aca="false">IFERROR(D32/C32,"")</f>
        <v>7777.77777777778</v>
      </c>
      <c r="F32" s="8"/>
      <c r="G32" s="9" t="str">
        <f aca="false">IF(F32="","",IFERROR(F32/D32-1,""))</f>
        <v/>
      </c>
      <c r="H32" s="5" t="s">
        <v>13</v>
      </c>
      <c r="I32" s="10" t="s">
        <v>48</v>
      </c>
    </row>
    <row r="33" customFormat="false" ht="15" hidden="false" customHeight="false" outlineLevel="0" collapsed="false">
      <c r="A33" s="4" t="s">
        <v>11</v>
      </c>
      <c r="B33" s="4" t="s">
        <v>50</v>
      </c>
      <c r="C33" s="5" t="n">
        <v>120</v>
      </c>
      <c r="D33" s="6" t="n">
        <v>850000</v>
      </c>
      <c r="E33" s="7" t="n">
        <f aca="false">IFERROR(D33/C33,"")</f>
        <v>7083.33333333333</v>
      </c>
      <c r="F33" s="8"/>
      <c r="G33" s="9" t="str">
        <f aca="false">IF(F33="","",IFERROR(F33/D33-1,""))</f>
        <v/>
      </c>
      <c r="H33" s="5" t="s">
        <v>13</v>
      </c>
      <c r="I33" s="10" t="s">
        <v>48</v>
      </c>
    </row>
    <row r="34" customFormat="false" ht="15" hidden="false" customHeight="false" outlineLevel="0" collapsed="false">
      <c r="A34" s="4" t="s">
        <v>11</v>
      </c>
      <c r="B34" s="4" t="s">
        <v>51</v>
      </c>
      <c r="C34" s="5" t="n">
        <v>60</v>
      </c>
      <c r="D34" s="6" t="n">
        <v>450000</v>
      </c>
      <c r="E34" s="7" t="n">
        <f aca="false">IFERROR(D34/C34,"")</f>
        <v>7500</v>
      </c>
      <c r="F34" s="8"/>
      <c r="G34" s="9" t="str">
        <f aca="false">IF(F34="","",IFERROR(F34/D34-1,""))</f>
        <v/>
      </c>
      <c r="H34" s="5" t="s">
        <v>13</v>
      </c>
      <c r="I34" s="10" t="s">
        <v>52</v>
      </c>
    </row>
    <row r="35" customFormat="false" ht="15" hidden="false" customHeight="false" outlineLevel="0" collapsed="false">
      <c r="A35" s="4" t="s">
        <v>11</v>
      </c>
      <c r="B35" s="4" t="s">
        <v>53</v>
      </c>
      <c r="C35" s="5" t="n">
        <v>90</v>
      </c>
      <c r="D35" s="6" t="n">
        <v>650000</v>
      </c>
      <c r="E35" s="7" t="n">
        <f aca="false">IFERROR(D35/C35,"")</f>
        <v>7222.22222222222</v>
      </c>
      <c r="F35" s="8"/>
      <c r="G35" s="9" t="str">
        <f aca="false">IF(F35="","",IFERROR(F35/D35-1,""))</f>
        <v/>
      </c>
      <c r="H35" s="5" t="s">
        <v>13</v>
      </c>
      <c r="I35" s="10" t="s">
        <v>52</v>
      </c>
    </row>
    <row r="36" customFormat="false" ht="15" hidden="false" customHeight="false" outlineLevel="0" collapsed="false">
      <c r="A36" s="4" t="s">
        <v>11</v>
      </c>
      <c r="B36" s="4" t="s">
        <v>54</v>
      </c>
      <c r="C36" s="5" t="n">
        <v>120</v>
      </c>
      <c r="D36" s="6" t="n">
        <v>850000</v>
      </c>
      <c r="E36" s="7" t="n">
        <f aca="false">IFERROR(D36/C36,"")</f>
        <v>7083.33333333333</v>
      </c>
      <c r="F36" s="8"/>
      <c r="G36" s="9" t="str">
        <f aca="false">IF(F36="","",IFERROR(F36/D36-1,""))</f>
        <v/>
      </c>
      <c r="H36" s="5" t="s">
        <v>13</v>
      </c>
      <c r="I36" s="10" t="s">
        <v>52</v>
      </c>
    </row>
    <row r="37" customFormat="false" ht="15" hidden="false" customHeight="false" outlineLevel="0" collapsed="false">
      <c r="A37" s="11" t="s">
        <v>11</v>
      </c>
      <c r="B37" s="11" t="s">
        <v>55</v>
      </c>
      <c r="C37" s="12" t="n">
        <v>60</v>
      </c>
      <c r="D37" s="13" t="n">
        <v>400000</v>
      </c>
      <c r="E37" s="14" t="n">
        <f aca="false">IFERROR(D37/C37,"")</f>
        <v>6666.66666666667</v>
      </c>
      <c r="F37" s="8"/>
      <c r="G37" s="15" t="str">
        <f aca="false">IF(F37="","",IFERROR(F37/D37-1,""))</f>
        <v/>
      </c>
      <c r="H37" s="12" t="s">
        <v>13</v>
      </c>
      <c r="I37" s="16"/>
    </row>
    <row r="38" customFormat="false" ht="15" hidden="false" customHeight="false" outlineLevel="0" collapsed="false">
      <c r="A38" s="11" t="s">
        <v>11</v>
      </c>
      <c r="B38" s="11" t="s">
        <v>56</v>
      </c>
      <c r="C38" s="12" t="n">
        <v>90</v>
      </c>
      <c r="D38" s="13" t="n">
        <v>550000</v>
      </c>
      <c r="E38" s="14" t="n">
        <f aca="false">IFERROR(D38/C38,"")</f>
        <v>6111.11111111111</v>
      </c>
      <c r="F38" s="8"/>
      <c r="G38" s="15" t="str">
        <f aca="false">IF(F38="","",IFERROR(F38/D38-1,""))</f>
        <v/>
      </c>
      <c r="H38" s="12" t="s">
        <v>13</v>
      </c>
      <c r="I38" s="16"/>
    </row>
    <row r="39" customFormat="false" ht="15" hidden="false" customHeight="false" outlineLevel="0" collapsed="false">
      <c r="A39" s="11" t="s">
        <v>11</v>
      </c>
      <c r="B39" s="11" t="s">
        <v>57</v>
      </c>
      <c r="C39" s="12" t="n">
        <v>60</v>
      </c>
      <c r="D39" s="13" t="n">
        <v>400000</v>
      </c>
      <c r="E39" s="14" t="n">
        <f aca="false">IFERROR(D39/C39,"")</f>
        <v>6666.66666666667</v>
      </c>
      <c r="F39" s="8"/>
      <c r="G39" s="15" t="str">
        <f aca="false">IF(F39="","",IFERROR(F39/D39-1,""))</f>
        <v/>
      </c>
      <c r="H39" s="12" t="s">
        <v>13</v>
      </c>
      <c r="I39" s="16"/>
    </row>
    <row r="40" customFormat="false" ht="15" hidden="false" customHeight="false" outlineLevel="0" collapsed="false">
      <c r="A40" s="11" t="s">
        <v>11</v>
      </c>
      <c r="B40" s="11" t="s">
        <v>58</v>
      </c>
      <c r="C40" s="12" t="n">
        <v>90</v>
      </c>
      <c r="D40" s="13" t="n">
        <v>550000</v>
      </c>
      <c r="E40" s="14" t="n">
        <f aca="false">IFERROR(D40/C40,"")</f>
        <v>6111.11111111111</v>
      </c>
      <c r="F40" s="8"/>
      <c r="G40" s="15" t="str">
        <f aca="false">IF(F40="","",IFERROR(F40/D40-1,""))</f>
        <v/>
      </c>
      <c r="H40" s="12" t="s">
        <v>13</v>
      </c>
      <c r="I40" s="16"/>
    </row>
    <row r="41" customFormat="false" ht="15" hidden="false" customHeight="false" outlineLevel="0" collapsed="false">
      <c r="A41" s="11" t="s">
        <v>11</v>
      </c>
      <c r="B41" s="11" t="s">
        <v>59</v>
      </c>
      <c r="C41" s="12" t="n">
        <v>120</v>
      </c>
      <c r="D41" s="13" t="n">
        <v>750000</v>
      </c>
      <c r="E41" s="14" t="n">
        <f aca="false">IFERROR(D41/C41,"")</f>
        <v>6250</v>
      </c>
      <c r="F41" s="8"/>
      <c r="G41" s="15" t="str">
        <f aca="false">IF(F41="","",IFERROR(F41/D41-1,""))</f>
        <v/>
      </c>
      <c r="H41" s="12" t="s">
        <v>13</v>
      </c>
      <c r="I41" s="16"/>
    </row>
    <row r="42" customFormat="false" ht="15" hidden="false" customHeight="false" outlineLevel="0" collapsed="false">
      <c r="A42" s="4" t="s">
        <v>11</v>
      </c>
      <c r="B42" s="4" t="s">
        <v>60</v>
      </c>
      <c r="C42" s="5" t="n">
        <v>60</v>
      </c>
      <c r="D42" s="6" t="n">
        <v>350000</v>
      </c>
      <c r="E42" s="7" t="n">
        <f aca="false">IFERROR(D42/C42,"")</f>
        <v>5833.33333333333</v>
      </c>
      <c r="F42" s="8"/>
      <c r="G42" s="9" t="str">
        <f aca="false">IF(F42="","",IFERROR(F42/D42-1,""))</f>
        <v/>
      </c>
      <c r="H42" s="5" t="s">
        <v>13</v>
      </c>
      <c r="I42" s="10" t="s">
        <v>61</v>
      </c>
    </row>
    <row r="43" customFormat="false" ht="15" hidden="false" customHeight="false" outlineLevel="0" collapsed="false">
      <c r="A43" s="4" t="s">
        <v>11</v>
      </c>
      <c r="B43" s="4" t="s">
        <v>62</v>
      </c>
      <c r="C43" s="5" t="n">
        <v>90</v>
      </c>
      <c r="D43" s="6" t="n">
        <v>500000</v>
      </c>
      <c r="E43" s="7" t="n">
        <f aca="false">IFERROR(D43/C43,"")</f>
        <v>5555.55555555556</v>
      </c>
      <c r="F43" s="8"/>
      <c r="G43" s="9" t="str">
        <f aca="false">IF(F43="","",IFERROR(F43/D43-1,""))</f>
        <v/>
      </c>
      <c r="H43" s="5" t="s">
        <v>13</v>
      </c>
      <c r="I43" s="10" t="s">
        <v>61</v>
      </c>
    </row>
    <row r="44" customFormat="false" ht="15" hidden="false" customHeight="false" outlineLevel="0" collapsed="false">
      <c r="A44" s="4" t="s">
        <v>11</v>
      </c>
      <c r="B44" s="4" t="s">
        <v>63</v>
      </c>
      <c r="C44" s="5" t="n">
        <v>120</v>
      </c>
      <c r="D44" s="6" t="n">
        <v>850000</v>
      </c>
      <c r="E44" s="7" t="n">
        <f aca="false">IFERROR(D44/C44,"")</f>
        <v>7083.33333333333</v>
      </c>
      <c r="F44" s="8"/>
      <c r="G44" s="9" t="str">
        <f aca="false">IF(F44="","",IFERROR(F44/D44-1,""))</f>
        <v/>
      </c>
      <c r="H44" s="5" t="s">
        <v>13</v>
      </c>
      <c r="I44" s="10" t="s">
        <v>61</v>
      </c>
    </row>
    <row r="45" customFormat="false" ht="15" hidden="false" customHeight="false" outlineLevel="0" collapsed="false">
      <c r="A45" s="4" t="s">
        <v>11</v>
      </c>
      <c r="B45" s="4" t="s">
        <v>64</v>
      </c>
      <c r="C45" s="5" t="n">
        <v>60</v>
      </c>
      <c r="D45" s="6" t="n">
        <v>550000</v>
      </c>
      <c r="E45" s="7" t="n">
        <f aca="false">IFERROR(D45/C45,"")</f>
        <v>9166.66666666667</v>
      </c>
      <c r="F45" s="8"/>
      <c r="G45" s="9" t="str">
        <f aca="false">IF(F45="","",IFERROR(F45/D45-1,""))</f>
        <v/>
      </c>
      <c r="H45" s="5" t="s">
        <v>13</v>
      </c>
      <c r="I45" s="10" t="s">
        <v>65</v>
      </c>
    </row>
    <row r="46" customFormat="false" ht="15" hidden="false" customHeight="false" outlineLevel="0" collapsed="false">
      <c r="A46" s="4" t="s">
        <v>11</v>
      </c>
      <c r="B46" s="4" t="s">
        <v>66</v>
      </c>
      <c r="C46" s="5" t="n">
        <v>90</v>
      </c>
      <c r="D46" s="6" t="n">
        <v>750000</v>
      </c>
      <c r="E46" s="7" t="n">
        <f aca="false">IFERROR(D46/C46,"")</f>
        <v>8333.33333333333</v>
      </c>
      <c r="F46" s="8"/>
      <c r="G46" s="9" t="str">
        <f aca="false">IF(F46="","",IFERROR(F46/D46-1,""))</f>
        <v/>
      </c>
      <c r="H46" s="5" t="s">
        <v>13</v>
      </c>
      <c r="I46" s="10" t="s">
        <v>65</v>
      </c>
    </row>
    <row r="47" customFormat="false" ht="15" hidden="false" customHeight="false" outlineLevel="0" collapsed="false">
      <c r="A47" s="4" t="s">
        <v>11</v>
      </c>
      <c r="B47" s="4" t="s">
        <v>67</v>
      </c>
      <c r="C47" s="5" t="n">
        <v>120</v>
      </c>
      <c r="D47" s="6" t="n">
        <v>950000</v>
      </c>
      <c r="E47" s="7" t="n">
        <f aca="false">IFERROR(D47/C47,"")</f>
        <v>7916.66666666667</v>
      </c>
      <c r="F47" s="8"/>
      <c r="G47" s="9" t="str">
        <f aca="false">IF(F47="","",IFERROR(F47/D47-1,""))</f>
        <v/>
      </c>
      <c r="H47" s="5" t="s">
        <v>13</v>
      </c>
      <c r="I47" s="10" t="s">
        <v>65</v>
      </c>
    </row>
    <row r="48" customFormat="false" ht="15" hidden="false" customHeight="false" outlineLevel="0" collapsed="false">
      <c r="A48" s="4" t="s">
        <v>11</v>
      </c>
      <c r="B48" s="4" t="s">
        <v>68</v>
      </c>
      <c r="C48" s="5" t="n">
        <v>60</v>
      </c>
      <c r="D48" s="6" t="n">
        <v>350000</v>
      </c>
      <c r="E48" s="7" t="n">
        <f aca="false">IFERROR(D48/C48,"")</f>
        <v>5833.33333333333</v>
      </c>
      <c r="F48" s="8"/>
      <c r="G48" s="9" t="str">
        <f aca="false">IF(F48="","",IFERROR(F48/D48-1,""))</f>
        <v/>
      </c>
      <c r="H48" s="5" t="s">
        <v>13</v>
      </c>
      <c r="I48" s="10" t="s">
        <v>69</v>
      </c>
    </row>
    <row r="49" customFormat="false" ht="15" hidden="false" customHeight="false" outlineLevel="0" collapsed="false">
      <c r="A49" s="4" t="s">
        <v>11</v>
      </c>
      <c r="B49" s="4" t="s">
        <v>70</v>
      </c>
      <c r="C49" s="5" t="n">
        <v>90</v>
      </c>
      <c r="D49" s="6" t="n">
        <v>500000</v>
      </c>
      <c r="E49" s="7" t="n">
        <f aca="false">IFERROR(D49/C49,"")</f>
        <v>5555.55555555556</v>
      </c>
      <c r="F49" s="8"/>
      <c r="G49" s="9" t="str">
        <f aca="false">IF(F49="","",IFERROR(F49/D49-1,""))</f>
        <v/>
      </c>
      <c r="H49" s="5" t="s">
        <v>13</v>
      </c>
      <c r="I49" s="10" t="s">
        <v>69</v>
      </c>
    </row>
    <row r="50" customFormat="false" ht="15" hidden="false" customHeight="false" outlineLevel="0" collapsed="false">
      <c r="A50" s="4" t="s">
        <v>11</v>
      </c>
      <c r="B50" s="4" t="s">
        <v>71</v>
      </c>
      <c r="C50" s="5" t="n">
        <v>120</v>
      </c>
      <c r="D50" s="6" t="n">
        <v>850000</v>
      </c>
      <c r="E50" s="7" t="n">
        <f aca="false">IFERROR(D50/C50,"")</f>
        <v>7083.33333333333</v>
      </c>
      <c r="F50" s="8"/>
      <c r="G50" s="9" t="str">
        <f aca="false">IF(F50="","",IFERROR(F50/D50-1,""))</f>
        <v/>
      </c>
      <c r="H50" s="5" t="s">
        <v>13</v>
      </c>
      <c r="I50" s="10" t="s">
        <v>69</v>
      </c>
    </row>
    <row r="51" customFormat="false" ht="15" hidden="false" customHeight="false" outlineLevel="0" collapsed="false">
      <c r="A51" s="11" t="s">
        <v>72</v>
      </c>
      <c r="B51" s="11" t="s">
        <v>73</v>
      </c>
      <c r="C51" s="12" t="n">
        <v>30</v>
      </c>
      <c r="D51" s="13" t="n">
        <v>350000</v>
      </c>
      <c r="E51" s="14" t="n">
        <f aca="false">IFERROR(D51/C51,"")</f>
        <v>11666.6666666667</v>
      </c>
      <c r="F51" s="8"/>
      <c r="G51" s="15" t="str">
        <f aca="false">IF(F51="","",IFERROR(F51/D51-1,""))</f>
        <v/>
      </c>
      <c r="H51" s="12" t="s">
        <v>13</v>
      </c>
      <c r="I51" s="16"/>
    </row>
    <row r="52" customFormat="false" ht="15" hidden="false" customHeight="false" outlineLevel="0" collapsed="false">
      <c r="A52" s="11" t="s">
        <v>72</v>
      </c>
      <c r="B52" s="11" t="s">
        <v>74</v>
      </c>
      <c r="C52" s="12" t="n">
        <v>45</v>
      </c>
      <c r="D52" s="13" t="n">
        <v>350000</v>
      </c>
      <c r="E52" s="14" t="n">
        <f aca="false">IFERROR(D52/C52,"")</f>
        <v>7777.77777777778</v>
      </c>
      <c r="F52" s="8"/>
      <c r="G52" s="15" t="str">
        <f aca="false">IF(F52="","",IFERROR(F52/D52-1,""))</f>
        <v/>
      </c>
      <c r="H52" s="12" t="s">
        <v>13</v>
      </c>
      <c r="I52" s="16"/>
    </row>
    <row r="53" customFormat="false" ht="15" hidden="false" customHeight="false" outlineLevel="0" collapsed="false">
      <c r="A53" s="11" t="s">
        <v>72</v>
      </c>
      <c r="B53" s="11" t="s">
        <v>75</v>
      </c>
      <c r="C53" s="12" t="n">
        <v>30</v>
      </c>
      <c r="D53" s="13" t="n">
        <v>250000</v>
      </c>
      <c r="E53" s="14" t="n">
        <f aca="false">IFERROR(D53/C53,"")</f>
        <v>8333.33333333333</v>
      </c>
      <c r="F53" s="8"/>
      <c r="G53" s="15" t="str">
        <f aca="false">IF(F53="","",IFERROR(F53/D53-1,""))</f>
        <v/>
      </c>
      <c r="H53" s="12" t="s">
        <v>13</v>
      </c>
      <c r="I53" s="16"/>
    </row>
    <row r="54" customFormat="false" ht="15" hidden="false" customHeight="false" outlineLevel="0" collapsed="false">
      <c r="A54" s="11" t="s">
        <v>72</v>
      </c>
      <c r="B54" s="11" t="s">
        <v>76</v>
      </c>
      <c r="C54" s="12" t="n">
        <v>30</v>
      </c>
      <c r="D54" s="13" t="n">
        <v>200000</v>
      </c>
      <c r="E54" s="14" t="n">
        <f aca="false">IFERROR(D54/C54,"")</f>
        <v>6666.66666666667</v>
      </c>
      <c r="F54" s="8"/>
      <c r="G54" s="15" t="str">
        <f aca="false">IF(F54="","",IFERROR(F54/D54-1,""))</f>
        <v/>
      </c>
      <c r="H54" s="12" t="s">
        <v>13</v>
      </c>
      <c r="I54" s="16"/>
    </row>
    <row r="55" customFormat="false" ht="15" hidden="false" customHeight="false" outlineLevel="0" collapsed="false">
      <c r="A55" s="4" t="s">
        <v>72</v>
      </c>
      <c r="B55" s="4" t="s">
        <v>77</v>
      </c>
      <c r="C55" s="5" t="n">
        <v>60</v>
      </c>
      <c r="D55" s="6" t="n">
        <v>400000</v>
      </c>
      <c r="E55" s="7" t="n">
        <f aca="false">IFERROR(D55/C55,"")</f>
        <v>6666.66666666667</v>
      </c>
      <c r="F55" s="8"/>
      <c r="G55" s="9" t="str">
        <f aca="false">IF(F55="","",IFERROR(F55/D55-1,""))</f>
        <v/>
      </c>
      <c r="H55" s="5" t="s">
        <v>13</v>
      </c>
      <c r="I55" s="10" t="s">
        <v>78</v>
      </c>
    </row>
    <row r="56" customFormat="false" ht="15" hidden="false" customHeight="false" outlineLevel="0" collapsed="false">
      <c r="A56" s="11" t="s">
        <v>72</v>
      </c>
      <c r="B56" s="11" t="s">
        <v>79</v>
      </c>
      <c r="C56" s="12" t="n">
        <v>90</v>
      </c>
      <c r="D56" s="13" t="n">
        <v>550000</v>
      </c>
      <c r="E56" s="14" t="n">
        <f aca="false">IFERROR(D56/C56,"")</f>
        <v>6111.11111111111</v>
      </c>
      <c r="F56" s="8"/>
      <c r="G56" s="15" t="str">
        <f aca="false">IF(F56="","",IFERROR(F56/D56-1,""))</f>
        <v/>
      </c>
      <c r="H56" s="12" t="s">
        <v>13</v>
      </c>
      <c r="I56" s="16"/>
    </row>
    <row r="57" customFormat="false" ht="15" hidden="false" customHeight="false" outlineLevel="0" collapsed="false">
      <c r="A57" s="11" t="s">
        <v>72</v>
      </c>
      <c r="B57" s="11" t="s">
        <v>80</v>
      </c>
      <c r="C57" s="12" t="n">
        <v>60</v>
      </c>
      <c r="D57" s="13" t="n">
        <v>550000</v>
      </c>
      <c r="E57" s="14" t="n">
        <f aca="false">IFERROR(D57/C57,"")</f>
        <v>9166.66666666667</v>
      </c>
      <c r="F57" s="8"/>
      <c r="G57" s="15" t="str">
        <f aca="false">IF(F57="","",IFERROR(F57/D57-1,""))</f>
        <v/>
      </c>
      <c r="H57" s="12" t="s">
        <v>13</v>
      </c>
      <c r="I57" s="16"/>
    </row>
    <row r="58" customFormat="false" ht="15" hidden="false" customHeight="false" outlineLevel="0" collapsed="false">
      <c r="A58" s="11" t="s">
        <v>72</v>
      </c>
      <c r="B58" s="11" t="s">
        <v>81</v>
      </c>
      <c r="C58" s="12" t="n">
        <v>30</v>
      </c>
      <c r="D58" s="13" t="n">
        <v>300000</v>
      </c>
      <c r="E58" s="14" t="n">
        <f aca="false">IFERROR(D58/C58,"")</f>
        <v>10000</v>
      </c>
      <c r="F58" s="8"/>
      <c r="G58" s="15" t="str">
        <f aca="false">IF(F58="","",IFERROR(F58/D58-1,""))</f>
        <v/>
      </c>
      <c r="H58" s="12" t="s">
        <v>13</v>
      </c>
      <c r="I58" s="16"/>
    </row>
    <row r="59" customFormat="false" ht="15" hidden="false" customHeight="false" outlineLevel="0" collapsed="false">
      <c r="A59" s="11" t="s">
        <v>72</v>
      </c>
      <c r="B59" s="11" t="s">
        <v>82</v>
      </c>
      <c r="C59" s="12" t="n">
        <v>45</v>
      </c>
      <c r="D59" s="13" t="n">
        <v>500000</v>
      </c>
      <c r="E59" s="14" t="n">
        <f aca="false">IFERROR(D59/C59,"")</f>
        <v>11111.1111111111</v>
      </c>
      <c r="F59" s="8"/>
      <c r="G59" s="15" t="str">
        <f aca="false">IF(F59="","",IFERROR(F59/D59-1,""))</f>
        <v/>
      </c>
      <c r="H59" s="12" t="s">
        <v>13</v>
      </c>
      <c r="I59" s="16"/>
    </row>
    <row r="60" customFormat="false" ht="15" hidden="false" customHeight="false" outlineLevel="0" collapsed="false">
      <c r="A60" s="4" t="s">
        <v>72</v>
      </c>
      <c r="B60" s="4" t="s">
        <v>83</v>
      </c>
      <c r="C60" s="5" t="n">
        <v>60</v>
      </c>
      <c r="D60" s="6" t="n">
        <v>500000</v>
      </c>
      <c r="E60" s="7" t="n">
        <f aca="false">IFERROR(D60/C60,"")</f>
        <v>8333.33333333333</v>
      </c>
      <c r="F60" s="8"/>
      <c r="G60" s="9" t="str">
        <f aca="false">IF(F60="","",IFERROR(F60/D60-1,""))</f>
        <v/>
      </c>
      <c r="H60" s="5" t="s">
        <v>13</v>
      </c>
      <c r="I60" s="10" t="s">
        <v>84</v>
      </c>
    </row>
    <row r="61" customFormat="false" ht="15" hidden="false" customHeight="false" outlineLevel="0" collapsed="false">
      <c r="A61" s="11" t="s">
        <v>72</v>
      </c>
      <c r="B61" s="11" t="s">
        <v>85</v>
      </c>
      <c r="C61" s="12" t="n">
        <v>60</v>
      </c>
      <c r="D61" s="13" t="n">
        <v>380000</v>
      </c>
      <c r="E61" s="14" t="n">
        <f aca="false">IFERROR(D61/C61,"")</f>
        <v>6333.33333333333</v>
      </c>
      <c r="F61" s="8"/>
      <c r="G61" s="15" t="str">
        <f aca="false">IF(F61="","",IFERROR(F61/D61-1,""))</f>
        <v/>
      </c>
      <c r="H61" s="12" t="s">
        <v>13</v>
      </c>
      <c r="I61" s="16"/>
    </row>
    <row r="62" customFormat="false" ht="15" hidden="false" customHeight="false" outlineLevel="0" collapsed="false">
      <c r="A62" s="4" t="s">
        <v>72</v>
      </c>
      <c r="B62" s="4" t="s">
        <v>86</v>
      </c>
      <c r="C62" s="5" t="n">
        <v>60</v>
      </c>
      <c r="D62" s="6" t="n">
        <v>400000</v>
      </c>
      <c r="E62" s="7" t="n">
        <f aca="false">IFERROR(D62/C62,"")</f>
        <v>6666.66666666667</v>
      </c>
      <c r="F62" s="8"/>
      <c r="G62" s="9" t="str">
        <f aca="false">IF(F62="","",IFERROR(F62/D62-1,""))</f>
        <v/>
      </c>
      <c r="H62" s="5" t="s">
        <v>13</v>
      </c>
      <c r="I62" s="10" t="s">
        <v>87</v>
      </c>
    </row>
    <row r="63" customFormat="false" ht="15" hidden="false" customHeight="false" outlineLevel="0" collapsed="false">
      <c r="A63" s="11" t="s">
        <v>72</v>
      </c>
      <c r="B63" s="11" t="s">
        <v>88</v>
      </c>
      <c r="C63" s="12" t="n">
        <v>45</v>
      </c>
      <c r="D63" s="13" t="n">
        <v>400000</v>
      </c>
      <c r="E63" s="14" t="n">
        <f aca="false">IFERROR(D63/C63,"")</f>
        <v>8888.88888888889</v>
      </c>
      <c r="F63" s="8"/>
      <c r="G63" s="15" t="str">
        <f aca="false">IF(F63="","",IFERROR(F63/D63-1,""))</f>
        <v/>
      </c>
      <c r="H63" s="12" t="s">
        <v>13</v>
      </c>
      <c r="I63" s="16"/>
    </row>
    <row r="64" customFormat="false" ht="15" hidden="false" customHeight="false" outlineLevel="0" collapsed="false">
      <c r="A64" s="4" t="s">
        <v>72</v>
      </c>
      <c r="B64" s="4" t="s">
        <v>89</v>
      </c>
      <c r="C64" s="5" t="n">
        <v>60</v>
      </c>
      <c r="D64" s="6" t="n">
        <v>500000</v>
      </c>
      <c r="E64" s="7" t="n">
        <f aca="false">IFERROR(D64/C64,"")</f>
        <v>8333.33333333333</v>
      </c>
      <c r="F64" s="8"/>
      <c r="G64" s="9" t="str">
        <f aca="false">IF(F64="","",IFERROR(F64/D64-1,""))</f>
        <v/>
      </c>
      <c r="H64" s="5" t="s">
        <v>13</v>
      </c>
      <c r="I64" s="10" t="s">
        <v>90</v>
      </c>
    </row>
    <row r="65" customFormat="false" ht="15" hidden="false" customHeight="false" outlineLevel="0" collapsed="false">
      <c r="B65" s="17" t="s">
        <v>91</v>
      </c>
      <c r="D65" s="18" t="n">
        <f aca="false">SUM(D5:D64)</f>
        <v>34380000</v>
      </c>
      <c r="F65" s="18" t="str">
        <f aca="false">IF(COUNT(F5:F64)=0,"",SUM(F5:F64))</f>
        <v/>
      </c>
    </row>
    <row r="67" customFormat="false" ht="15" hidden="false" customHeight="false" outlineLevel="0" collapsed="false">
      <c r="B67" s="19" t="s">
        <v>92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7" min="3" style="0" width="12"/>
    <col collapsed="false" customWidth="true" hidden="false" outlineLevel="0" max="8" min="8" style="0" width="13"/>
  </cols>
  <sheetData>
    <row r="1" customFormat="false" ht="18.55" hidden="false" customHeight="false" outlineLevel="0" collapsed="false">
      <c r="A1" s="20" t="s">
        <v>93</v>
      </c>
    </row>
    <row r="2" customFormat="false" ht="14.15" hidden="false" customHeight="false" outlineLevel="0" collapsed="false">
      <c r="A2" s="2" t="s">
        <v>94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21" t="s">
        <v>95</v>
      </c>
      <c r="D4" s="21" t="s">
        <v>96</v>
      </c>
      <c r="E4" s="21" t="s">
        <v>97</v>
      </c>
      <c r="F4" s="21" t="s">
        <v>98</v>
      </c>
      <c r="G4" s="21" t="s">
        <v>99</v>
      </c>
      <c r="H4" s="21" t="s">
        <v>100</v>
      </c>
    </row>
    <row r="5" customFormat="false" ht="15" hidden="false" customHeight="false" outlineLevel="0" collapsed="false">
      <c r="A5" s="11" t="s">
        <v>11</v>
      </c>
      <c r="B5" s="11" t="s">
        <v>101</v>
      </c>
      <c r="C5" s="22"/>
      <c r="D5" s="22"/>
      <c r="E5" s="22" t="n">
        <v>350000</v>
      </c>
      <c r="F5" s="22" t="n">
        <v>500000</v>
      </c>
      <c r="G5" s="22" t="n">
        <v>850000</v>
      </c>
      <c r="H5" s="23" t="n">
        <f aca="false">IF(OR(E5="",G5=""),"",IFERROR(G5/E5,""))</f>
        <v>2.42857142857143</v>
      </c>
    </row>
    <row r="6" customFormat="false" ht="15" hidden="false" customHeight="false" outlineLevel="0" collapsed="false">
      <c r="A6" s="11" t="s">
        <v>11</v>
      </c>
      <c r="B6" s="11" t="s">
        <v>102</v>
      </c>
      <c r="C6" s="22"/>
      <c r="D6" s="22"/>
      <c r="E6" s="22" t="n">
        <v>400000</v>
      </c>
      <c r="F6" s="22" t="n">
        <v>650000</v>
      </c>
      <c r="G6" s="22" t="n">
        <v>850000</v>
      </c>
      <c r="H6" s="23" t="n">
        <f aca="false">IF(OR(E6="",G6=""),"",IFERROR(G6/E6,""))</f>
        <v>2.125</v>
      </c>
    </row>
    <row r="7" customFormat="false" ht="15" hidden="false" customHeight="false" outlineLevel="0" collapsed="false">
      <c r="A7" s="11" t="s">
        <v>11</v>
      </c>
      <c r="B7" s="11" t="s">
        <v>103</v>
      </c>
      <c r="C7" s="22"/>
      <c r="D7" s="22"/>
      <c r="E7" s="22" t="n">
        <v>350000</v>
      </c>
      <c r="F7" s="22" t="n">
        <v>500000</v>
      </c>
      <c r="G7" s="22" t="n">
        <v>850000</v>
      </c>
      <c r="H7" s="23" t="n">
        <f aca="false">IF(OR(E7="",G7=""),"",IFERROR(G7/E7,""))</f>
        <v>2.42857142857143</v>
      </c>
    </row>
    <row r="8" customFormat="false" ht="15" hidden="false" customHeight="false" outlineLevel="0" collapsed="false">
      <c r="A8" s="11" t="s">
        <v>11</v>
      </c>
      <c r="B8" s="11" t="s">
        <v>104</v>
      </c>
      <c r="C8" s="22"/>
      <c r="D8" s="22"/>
      <c r="E8" s="22" t="n">
        <v>400000</v>
      </c>
      <c r="F8" s="22" t="n">
        <v>650000</v>
      </c>
      <c r="G8" s="22" t="n">
        <v>850000</v>
      </c>
      <c r="H8" s="23" t="n">
        <f aca="false">IF(OR(E8="",G8=""),"",IFERROR(G8/E8,""))</f>
        <v>2.125</v>
      </c>
    </row>
    <row r="9" customFormat="false" ht="15" hidden="false" customHeight="false" outlineLevel="0" collapsed="false">
      <c r="A9" s="11" t="s">
        <v>11</v>
      </c>
      <c r="B9" s="11" t="s">
        <v>105</v>
      </c>
      <c r="C9" s="22"/>
      <c r="D9" s="22"/>
      <c r="E9" s="22" t="n">
        <v>450000</v>
      </c>
      <c r="F9" s="22" t="n">
        <v>650000</v>
      </c>
      <c r="G9" s="22"/>
      <c r="H9" s="23" t="str">
        <f aca="false">IF(OR(E9="",G9=""),"",IFERROR(G9/E9,""))</f>
        <v/>
      </c>
    </row>
    <row r="10" customFormat="false" ht="15" hidden="false" customHeight="false" outlineLevel="0" collapsed="false">
      <c r="A10" s="11" t="s">
        <v>11</v>
      </c>
      <c r="B10" s="11" t="s">
        <v>106</v>
      </c>
      <c r="C10" s="22"/>
      <c r="D10" s="22"/>
      <c r="E10" s="22" t="n">
        <v>500000</v>
      </c>
      <c r="F10" s="22" t="n">
        <v>700000</v>
      </c>
      <c r="G10" s="22" t="n">
        <v>850000</v>
      </c>
      <c r="H10" s="23" t="n">
        <f aca="false">IF(OR(E10="",G10=""),"",IFERROR(G10/E10,""))</f>
        <v>1.7</v>
      </c>
    </row>
    <row r="11" customFormat="false" ht="15" hidden="false" customHeight="false" outlineLevel="0" collapsed="false">
      <c r="A11" s="11" t="s">
        <v>11</v>
      </c>
      <c r="B11" s="11" t="s">
        <v>107</v>
      </c>
      <c r="C11" s="22"/>
      <c r="D11" s="22"/>
      <c r="E11" s="22" t="n">
        <v>450000</v>
      </c>
      <c r="F11" s="22" t="n">
        <v>650000</v>
      </c>
      <c r="G11" s="22" t="n">
        <v>850000</v>
      </c>
      <c r="H11" s="23" t="n">
        <f aca="false">IF(OR(E11="",G11=""),"",IFERROR(G11/E11,""))</f>
        <v>1.88888888888889</v>
      </c>
    </row>
    <row r="12" customFormat="false" ht="15" hidden="false" customHeight="false" outlineLevel="0" collapsed="false">
      <c r="A12" s="11" t="s">
        <v>11</v>
      </c>
      <c r="B12" s="11" t="s">
        <v>108</v>
      </c>
      <c r="C12" s="22"/>
      <c r="D12" s="22"/>
      <c r="E12" s="22" t="n">
        <v>550000</v>
      </c>
      <c r="F12" s="22" t="n">
        <v>750000</v>
      </c>
      <c r="G12" s="22" t="n">
        <v>950000</v>
      </c>
      <c r="H12" s="23" t="n">
        <f aca="false">IF(OR(E12="",G12=""),"",IFERROR(G12/E12,""))</f>
        <v>1.72727272727273</v>
      </c>
    </row>
    <row r="13" customFormat="false" ht="15" hidden="false" customHeight="false" outlineLevel="0" collapsed="false">
      <c r="A13" s="11" t="s">
        <v>11</v>
      </c>
      <c r="B13" s="11" t="s">
        <v>109</v>
      </c>
      <c r="C13" s="22"/>
      <c r="D13" s="22"/>
      <c r="E13" s="22" t="n">
        <v>400000</v>
      </c>
      <c r="F13" s="22" t="n">
        <v>650000</v>
      </c>
      <c r="G13" s="22" t="n">
        <v>850000</v>
      </c>
      <c r="H13" s="23" t="n">
        <f aca="false">IF(OR(E13="",G13=""),"",IFERROR(G13/E13,""))</f>
        <v>2.125</v>
      </c>
    </row>
    <row r="14" customFormat="false" ht="15" hidden="false" customHeight="false" outlineLevel="0" collapsed="false">
      <c r="A14" s="11" t="s">
        <v>11</v>
      </c>
      <c r="B14" s="11" t="s">
        <v>110</v>
      </c>
      <c r="C14" s="22"/>
      <c r="D14" s="22"/>
      <c r="E14" s="22" t="n">
        <v>500000</v>
      </c>
      <c r="F14" s="22" t="n">
        <v>700000</v>
      </c>
      <c r="G14" s="22" t="n">
        <v>850000</v>
      </c>
      <c r="H14" s="23" t="n">
        <f aca="false">IF(OR(E14="",G14=""),"",IFERROR(G14/E14,""))</f>
        <v>1.7</v>
      </c>
    </row>
    <row r="15" customFormat="false" ht="15" hidden="false" customHeight="false" outlineLevel="0" collapsed="false">
      <c r="A15" s="11" t="s">
        <v>11</v>
      </c>
      <c r="B15" s="11" t="s">
        <v>111</v>
      </c>
      <c r="C15" s="22"/>
      <c r="D15" s="22"/>
      <c r="E15" s="22" t="n">
        <v>450000</v>
      </c>
      <c r="F15" s="22" t="n">
        <v>650000</v>
      </c>
      <c r="G15" s="22" t="n">
        <v>850000</v>
      </c>
      <c r="H15" s="23" t="n">
        <f aca="false">IF(OR(E15="",G15=""),"",IFERROR(G15/E15,""))</f>
        <v>1.88888888888889</v>
      </c>
    </row>
    <row r="16" customFormat="false" ht="15" hidden="false" customHeight="false" outlineLevel="0" collapsed="false">
      <c r="A16" s="11" t="s">
        <v>11</v>
      </c>
      <c r="B16" s="11" t="s">
        <v>112</v>
      </c>
      <c r="C16" s="22"/>
      <c r="D16" s="22"/>
      <c r="E16" s="22" t="n">
        <v>400000</v>
      </c>
      <c r="F16" s="22" t="n">
        <v>550000</v>
      </c>
      <c r="G16" s="22"/>
      <c r="H16" s="23" t="str">
        <f aca="false">IF(OR(E16="",G16=""),"",IFERROR(G16/E16,""))</f>
        <v/>
      </c>
    </row>
    <row r="17" customFormat="false" ht="15" hidden="false" customHeight="false" outlineLevel="0" collapsed="false">
      <c r="A17" s="11" t="s">
        <v>11</v>
      </c>
      <c r="B17" s="11" t="s">
        <v>113</v>
      </c>
      <c r="C17" s="22"/>
      <c r="D17" s="22"/>
      <c r="E17" s="22" t="n">
        <v>400000</v>
      </c>
      <c r="F17" s="22" t="n">
        <v>550000</v>
      </c>
      <c r="G17" s="22" t="n">
        <v>750000</v>
      </c>
      <c r="H17" s="23" t="n">
        <f aca="false">IF(OR(E17="",G17=""),"",IFERROR(G17/E17,""))</f>
        <v>1.875</v>
      </c>
    </row>
    <row r="18" customFormat="false" ht="15" hidden="false" customHeight="false" outlineLevel="0" collapsed="false">
      <c r="A18" s="11" t="s">
        <v>11</v>
      </c>
      <c r="B18" s="11" t="s">
        <v>114</v>
      </c>
      <c r="C18" s="22"/>
      <c r="D18" s="22"/>
      <c r="E18" s="22" t="n">
        <v>350000</v>
      </c>
      <c r="F18" s="22" t="n">
        <v>500000</v>
      </c>
      <c r="G18" s="22" t="n">
        <v>850000</v>
      </c>
      <c r="H18" s="23" t="n">
        <f aca="false">IF(OR(E18="",G18=""),"",IFERROR(G18/E18,""))</f>
        <v>2.42857142857143</v>
      </c>
    </row>
    <row r="19" customFormat="false" ht="15" hidden="false" customHeight="false" outlineLevel="0" collapsed="false">
      <c r="A19" s="11" t="s">
        <v>11</v>
      </c>
      <c r="B19" s="11" t="s">
        <v>115</v>
      </c>
      <c r="C19" s="22"/>
      <c r="D19" s="22"/>
      <c r="E19" s="22" t="n">
        <v>550000</v>
      </c>
      <c r="F19" s="22" t="n">
        <v>750000</v>
      </c>
      <c r="G19" s="22" t="n">
        <v>950000</v>
      </c>
      <c r="H19" s="23" t="n">
        <f aca="false">IF(OR(E19="",G19=""),"",IFERROR(G19/E19,""))</f>
        <v>1.72727272727273</v>
      </c>
    </row>
    <row r="20" customFormat="false" ht="15" hidden="false" customHeight="false" outlineLevel="0" collapsed="false">
      <c r="A20" s="11" t="s">
        <v>11</v>
      </c>
      <c r="B20" s="11" t="s">
        <v>116</v>
      </c>
      <c r="C20" s="22"/>
      <c r="D20" s="22"/>
      <c r="E20" s="22" t="n">
        <v>350000</v>
      </c>
      <c r="F20" s="22" t="n">
        <v>500000</v>
      </c>
      <c r="G20" s="22" t="n">
        <v>850000</v>
      </c>
      <c r="H20" s="23" t="n">
        <f aca="false">IF(OR(E20="",G20=""),"",IFERROR(G20/E20,""))</f>
        <v>2.42857142857143</v>
      </c>
    </row>
    <row r="21" customFormat="false" ht="15" hidden="false" customHeight="false" outlineLevel="0" collapsed="false">
      <c r="A21" s="11" t="s">
        <v>72</v>
      </c>
      <c r="B21" s="11" t="s">
        <v>117</v>
      </c>
      <c r="C21" s="22" t="n">
        <v>350000</v>
      </c>
      <c r="D21" s="22"/>
      <c r="E21" s="22"/>
      <c r="F21" s="22"/>
      <c r="G21" s="22"/>
      <c r="H21" s="23" t="str">
        <f aca="false">IF(OR(E21="",G21=""),"",IFERROR(G21/E21,""))</f>
        <v/>
      </c>
    </row>
    <row r="22" customFormat="false" ht="15" hidden="false" customHeight="false" outlineLevel="0" collapsed="false">
      <c r="A22" s="11" t="s">
        <v>72</v>
      </c>
      <c r="B22" s="11" t="s">
        <v>118</v>
      </c>
      <c r="C22" s="22"/>
      <c r="D22" s="22" t="n">
        <v>350000</v>
      </c>
      <c r="E22" s="22"/>
      <c r="F22" s="22"/>
      <c r="G22" s="22"/>
      <c r="H22" s="23" t="str">
        <f aca="false">IF(OR(E22="",G22=""),"",IFERROR(G22/E22,""))</f>
        <v/>
      </c>
    </row>
    <row r="23" customFormat="false" ht="15" hidden="false" customHeight="false" outlineLevel="0" collapsed="false">
      <c r="A23" s="11" t="s">
        <v>72</v>
      </c>
      <c r="B23" s="11" t="s">
        <v>119</v>
      </c>
      <c r="C23" s="22" t="n">
        <v>250000</v>
      </c>
      <c r="D23" s="22"/>
      <c r="E23" s="22"/>
      <c r="F23" s="22"/>
      <c r="G23" s="22"/>
      <c r="H23" s="23" t="str">
        <f aca="false">IF(OR(E23="",G23=""),"",IFERROR(G23/E23,""))</f>
        <v/>
      </c>
    </row>
    <row r="24" customFormat="false" ht="15" hidden="false" customHeight="false" outlineLevel="0" collapsed="false">
      <c r="A24" s="11" t="s">
        <v>72</v>
      </c>
      <c r="B24" s="11" t="s">
        <v>120</v>
      </c>
      <c r="C24" s="22" t="n">
        <v>200000</v>
      </c>
      <c r="D24" s="22"/>
      <c r="E24" s="22"/>
      <c r="F24" s="22"/>
      <c r="G24" s="22"/>
      <c r="H24" s="23" t="str">
        <f aca="false">IF(OR(E24="",G24=""),"",IFERROR(G24/E24,""))</f>
        <v/>
      </c>
    </row>
    <row r="25" customFormat="false" ht="15" hidden="false" customHeight="false" outlineLevel="0" collapsed="false">
      <c r="A25" s="11" t="s">
        <v>72</v>
      </c>
      <c r="B25" s="11" t="s">
        <v>121</v>
      </c>
      <c r="C25" s="22"/>
      <c r="D25" s="22"/>
      <c r="E25" s="22" t="n">
        <v>400000</v>
      </c>
      <c r="F25" s="22"/>
      <c r="G25" s="22"/>
      <c r="H25" s="23" t="str">
        <f aca="false">IF(OR(E25="",G25=""),"",IFERROR(G25/E25,""))</f>
        <v/>
      </c>
    </row>
    <row r="26" customFormat="false" ht="15" hidden="false" customHeight="false" outlineLevel="0" collapsed="false">
      <c r="A26" s="11" t="s">
        <v>72</v>
      </c>
      <c r="B26" s="11" t="s">
        <v>122</v>
      </c>
      <c r="C26" s="22"/>
      <c r="D26" s="22"/>
      <c r="E26" s="22"/>
      <c r="F26" s="22" t="n">
        <v>550000</v>
      </c>
      <c r="G26" s="22"/>
      <c r="H26" s="23" t="str">
        <f aca="false">IF(OR(E26="",G26=""),"",IFERROR(G26/E26,""))</f>
        <v/>
      </c>
    </row>
    <row r="27" customFormat="false" ht="15" hidden="false" customHeight="false" outlineLevel="0" collapsed="false">
      <c r="A27" s="11" t="s">
        <v>72</v>
      </c>
      <c r="B27" s="11" t="s">
        <v>123</v>
      </c>
      <c r="C27" s="22"/>
      <c r="D27" s="22"/>
      <c r="E27" s="22" t="n">
        <v>550000</v>
      </c>
      <c r="F27" s="22"/>
      <c r="G27" s="22"/>
      <c r="H27" s="23" t="str">
        <f aca="false">IF(OR(E27="",G27=""),"",IFERROR(G27/E27,""))</f>
        <v/>
      </c>
    </row>
    <row r="28" customFormat="false" ht="15" hidden="false" customHeight="false" outlineLevel="0" collapsed="false">
      <c r="A28" s="11" t="s">
        <v>72</v>
      </c>
      <c r="B28" s="11" t="s">
        <v>124</v>
      </c>
      <c r="C28" s="22" t="n">
        <v>300000</v>
      </c>
      <c r="D28" s="22"/>
      <c r="E28" s="22"/>
      <c r="F28" s="22"/>
      <c r="G28" s="22"/>
      <c r="H28" s="23" t="str">
        <f aca="false">IF(OR(E28="",G28=""),"",IFERROR(G28/E28,""))</f>
        <v/>
      </c>
    </row>
    <row r="29" customFormat="false" ht="15" hidden="false" customHeight="false" outlineLevel="0" collapsed="false">
      <c r="A29" s="11" t="s">
        <v>72</v>
      </c>
      <c r="B29" s="11" t="s">
        <v>125</v>
      </c>
      <c r="C29" s="22"/>
      <c r="D29" s="22" t="n">
        <v>500000</v>
      </c>
      <c r="E29" s="22"/>
      <c r="F29" s="22"/>
      <c r="G29" s="22"/>
      <c r="H29" s="23" t="str">
        <f aca="false">IF(OR(E29="",G29=""),"",IFERROR(G29/E29,""))</f>
        <v/>
      </c>
    </row>
    <row r="30" customFormat="false" ht="15" hidden="false" customHeight="false" outlineLevel="0" collapsed="false">
      <c r="A30" s="11" t="s">
        <v>72</v>
      </c>
      <c r="B30" s="11" t="s">
        <v>126</v>
      </c>
      <c r="C30" s="22"/>
      <c r="D30" s="22"/>
      <c r="E30" s="22" t="n">
        <v>500000</v>
      </c>
      <c r="F30" s="22"/>
      <c r="G30" s="22"/>
      <c r="H30" s="23" t="str">
        <f aca="false">IF(OR(E30="",G30=""),"",IFERROR(G30/E30,""))</f>
        <v/>
      </c>
    </row>
    <row r="31" customFormat="false" ht="15" hidden="false" customHeight="false" outlineLevel="0" collapsed="false">
      <c r="A31" s="11" t="s">
        <v>72</v>
      </c>
      <c r="B31" s="11" t="s">
        <v>127</v>
      </c>
      <c r="C31" s="22"/>
      <c r="D31" s="22"/>
      <c r="E31" s="22" t="n">
        <v>380000</v>
      </c>
      <c r="F31" s="22"/>
      <c r="G31" s="22"/>
      <c r="H31" s="23" t="str">
        <f aca="false">IF(OR(E31="",G31=""),"",IFERROR(G31/E31,""))</f>
        <v/>
      </c>
    </row>
    <row r="32" customFormat="false" ht="15" hidden="false" customHeight="false" outlineLevel="0" collapsed="false">
      <c r="A32" s="11" t="s">
        <v>72</v>
      </c>
      <c r="B32" s="11" t="s">
        <v>128</v>
      </c>
      <c r="C32" s="22"/>
      <c r="D32" s="22"/>
      <c r="E32" s="22" t="n">
        <v>400000</v>
      </c>
      <c r="F32" s="22"/>
      <c r="G32" s="22"/>
      <c r="H32" s="23" t="str">
        <f aca="false">IF(OR(E32="",G32=""),"",IFERROR(G32/E32,""))</f>
        <v/>
      </c>
    </row>
    <row r="33" customFormat="false" ht="15" hidden="false" customHeight="false" outlineLevel="0" collapsed="false">
      <c r="A33" s="11" t="s">
        <v>72</v>
      </c>
      <c r="B33" s="11" t="s">
        <v>129</v>
      </c>
      <c r="C33" s="22"/>
      <c r="D33" s="22" t="n">
        <v>400000</v>
      </c>
      <c r="E33" s="22"/>
      <c r="F33" s="22"/>
      <c r="G33" s="22"/>
      <c r="H33" s="23" t="str">
        <f aca="false">IF(OR(E33="",G33=""),"",IFERROR(G33/E33,""))</f>
        <v/>
      </c>
    </row>
    <row r="34" customFormat="false" ht="15" hidden="false" customHeight="false" outlineLevel="0" collapsed="false">
      <c r="A34" s="11" t="s">
        <v>72</v>
      </c>
      <c r="B34" s="11" t="s">
        <v>130</v>
      </c>
      <c r="C34" s="22"/>
      <c r="D34" s="22"/>
      <c r="E34" s="22" t="n">
        <v>500000</v>
      </c>
      <c r="F34" s="22"/>
      <c r="G34" s="22"/>
      <c r="H34" s="23" t="str">
        <f aca="false">IF(OR(E34="",G34=""),"",IFERROR(G34/E34,""))</f>
        <v/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34"/>
  </cols>
  <sheetData>
    <row r="1" customFormat="false" ht="18.55" hidden="false" customHeight="false" outlineLevel="0" collapsed="false">
      <c r="A1" s="20" t="s">
        <v>131</v>
      </c>
    </row>
    <row r="2" customFormat="false" ht="14.15" hidden="false" customHeight="false" outlineLevel="0" collapsed="false">
      <c r="A2" s="24" t="s">
        <v>132</v>
      </c>
      <c r="B2" s="24"/>
      <c r="C2" s="24"/>
      <c r="D2" s="24"/>
    </row>
    <row r="4" customFormat="false" ht="30" hidden="false" customHeight="true" outlineLevel="0" collapsed="false">
      <c r="A4" s="3" t="s">
        <v>133</v>
      </c>
      <c r="B4" s="3" t="s">
        <v>134</v>
      </c>
      <c r="C4" s="3" t="s">
        <v>135</v>
      </c>
      <c r="D4" s="3" t="s">
        <v>136</v>
      </c>
    </row>
    <row r="5" customFormat="false" ht="45.75" hidden="false" customHeight="true" outlineLevel="0" collapsed="false">
      <c r="A5" s="25" t="s">
        <v>137</v>
      </c>
      <c r="B5" s="26" t="s">
        <v>138</v>
      </c>
      <c r="C5" s="27" t="s">
        <v>139</v>
      </c>
      <c r="D5" s="26" t="s">
        <v>140</v>
      </c>
    </row>
    <row r="6" customFormat="false" ht="45.75" hidden="false" customHeight="true" outlineLevel="0" collapsed="false">
      <c r="A6" s="25" t="s">
        <v>137</v>
      </c>
      <c r="B6" s="26" t="s">
        <v>141</v>
      </c>
      <c r="C6" s="27" t="s">
        <v>139</v>
      </c>
      <c r="D6" s="26" t="s">
        <v>142</v>
      </c>
    </row>
    <row r="7" customFormat="false" ht="45.75" hidden="false" customHeight="true" outlineLevel="0" collapsed="false">
      <c r="A7" s="25" t="s">
        <v>137</v>
      </c>
      <c r="B7" s="26" t="s">
        <v>143</v>
      </c>
      <c r="C7" s="26" t="s">
        <v>144</v>
      </c>
      <c r="D7" s="26" t="s">
        <v>145</v>
      </c>
    </row>
    <row r="8" customFormat="false" ht="45.75" hidden="false" customHeight="true" outlineLevel="0" collapsed="false">
      <c r="A8" s="25" t="s">
        <v>137</v>
      </c>
      <c r="B8" s="26" t="s">
        <v>146</v>
      </c>
      <c r="C8" s="27" t="s">
        <v>147</v>
      </c>
      <c r="D8" s="26" t="s">
        <v>148</v>
      </c>
    </row>
    <row r="9" customFormat="false" ht="45.75" hidden="false" customHeight="true" outlineLevel="0" collapsed="false">
      <c r="A9" s="25" t="s">
        <v>149</v>
      </c>
      <c r="B9" s="26" t="s">
        <v>150</v>
      </c>
      <c r="C9" s="26" t="s">
        <v>151</v>
      </c>
      <c r="D9" s="26" t="s">
        <v>152</v>
      </c>
    </row>
    <row r="10" customFormat="false" ht="45.75" hidden="false" customHeight="true" outlineLevel="0" collapsed="false">
      <c r="A10" s="25" t="s">
        <v>153</v>
      </c>
      <c r="B10" s="27" t="s">
        <v>154</v>
      </c>
      <c r="C10" s="27" t="s">
        <v>155</v>
      </c>
      <c r="D10" s="27" t="s">
        <v>156</v>
      </c>
    </row>
    <row r="11" customFormat="false" ht="45.75" hidden="false" customHeight="true" outlineLevel="0" collapsed="false">
      <c r="A11" s="25" t="s">
        <v>157</v>
      </c>
      <c r="B11" s="26" t="s">
        <v>158</v>
      </c>
      <c r="C11" s="27" t="s">
        <v>159</v>
      </c>
      <c r="D11" s="26" t="s">
        <v>160</v>
      </c>
    </row>
    <row r="12" customFormat="false" ht="45.75" hidden="false" customHeight="true" outlineLevel="0" collapsed="false">
      <c r="A12" s="25" t="s">
        <v>161</v>
      </c>
      <c r="B12" s="26" t="s">
        <v>162</v>
      </c>
      <c r="C12" s="26" t="s">
        <v>163</v>
      </c>
      <c r="D12" s="26" t="s">
        <v>164</v>
      </c>
    </row>
    <row r="13" customFormat="false" ht="45.75" hidden="false" customHeight="true" outlineLevel="0" collapsed="false">
      <c r="A13" s="25" t="s">
        <v>165</v>
      </c>
      <c r="B13" s="26" t="s">
        <v>166</v>
      </c>
      <c r="C13" s="26" t="s">
        <v>167</v>
      </c>
      <c r="D13" s="26" t="s">
        <v>168</v>
      </c>
    </row>
    <row r="14" customFormat="false" ht="45.75" hidden="false" customHeight="true" outlineLevel="0" collapsed="false">
      <c r="A14" s="25" t="s">
        <v>169</v>
      </c>
      <c r="B14" s="26" t="s">
        <v>170</v>
      </c>
      <c r="C14" s="26" t="s">
        <v>171</v>
      </c>
      <c r="D14" s="26" t="s">
        <v>172</v>
      </c>
    </row>
    <row r="15" customFormat="false" ht="45.75" hidden="false" customHeight="true" outlineLevel="0" collapsed="false">
      <c r="A15" s="25" t="s">
        <v>173</v>
      </c>
      <c r="B15" s="27" t="s">
        <v>174</v>
      </c>
      <c r="C15" s="27" t="s">
        <v>175</v>
      </c>
      <c r="D15" s="26" t="s">
        <v>176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2026-09-06T03:55:26Z</dcterms:created>
  <dc:creator>openpyxl</dc:creator>
  <dc:description/>
  <dc:language>en-US</dc:language>
  <cp:lastModifiedBy/>
  <dcterms:modified xsi:type="dcterms:W3CDTF">2026-09-06T03:55:26Z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